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EE\Projects\1026 RPi Power Hat\KiCAD Project\BOM\"/>
    </mc:Choice>
  </mc:AlternateContent>
  <xr:revisionPtr revIDLastSave="0" documentId="13_ncr:1_{75F8257C-0F6B-4790-9632-CBC027DD23AE}" xr6:coauthVersionLast="47" xr6:coauthVersionMax="47" xr10:uidLastSave="{00000000-0000-0000-0000-000000000000}"/>
  <bookViews>
    <workbookView xWindow="14565" yWindow="0" windowWidth="23940" windowHeight="20985" xr2:uid="{00000000-000D-0000-FFFF-FFFF00000000}"/>
  </bookViews>
  <sheets>
    <sheet name="Parts List" sheetId="1" r:id="rId1"/>
    <sheet name="AirPick Tips" sheetId="2" r:id="rId2"/>
  </sheets>
  <definedNames>
    <definedName name="_xlnm._FilterDatabase" localSheetId="0" hidden="1">'Parts List'!$A$4:$L$22</definedName>
    <definedName name="AllTips">'Parts List'!$J$5:$J$263</definedName>
    <definedName name="MilToAPTip">'AirPick Tips'!$A$5:$C$16</definedName>
    <definedName name="mmToAPTip">'AirPick Tips'!$B$5:$C$16</definedName>
    <definedName name="Orientations">'AirPick Tips'!$G$5:$H$13</definedName>
    <definedName name="_xlnm.Print_Titles" localSheetId="0">'Parts List'!$1:$4</definedName>
    <definedName name="TapeWidths">'Parts List'!$E$5:$E$63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8" i="1" l="1"/>
  <c r="G14" i="1"/>
  <c r="G43" i="1"/>
  <c r="G15" i="1"/>
  <c r="G37" i="1"/>
  <c r="G11" i="1"/>
  <c r="G47" i="1"/>
  <c r="G12" i="1"/>
  <c r="G13" i="1"/>
  <c r="G39" i="1"/>
  <c r="G48" i="1"/>
  <c r="G9" i="1"/>
  <c r="G49" i="1"/>
  <c r="G10" i="1"/>
  <c r="G40" i="1"/>
  <c r="G16" i="1"/>
  <c r="G44" i="1"/>
  <c r="G6" i="1"/>
  <c r="G7" i="1"/>
  <c r="G51" i="1"/>
  <c r="G17" i="1"/>
  <c r="G26" i="1"/>
  <c r="G29" i="1"/>
  <c r="G31" i="1"/>
  <c r="G32" i="1"/>
  <c r="G33" i="1"/>
  <c r="G34" i="1"/>
  <c r="G35" i="1"/>
  <c r="G36" i="1"/>
  <c r="G18" i="1"/>
  <c r="G19" i="1"/>
  <c r="G20" i="1"/>
  <c r="G21" i="1"/>
  <c r="G22" i="1"/>
  <c r="G23" i="1"/>
  <c r="G24" i="1"/>
  <c r="G25" i="1"/>
  <c r="G27" i="1"/>
  <c r="G28" i="1"/>
  <c r="G30" i="1"/>
  <c r="G8" i="1"/>
  <c r="G45" i="1"/>
  <c r="G46" i="1"/>
  <c r="G42" i="1"/>
  <c r="G41" i="1"/>
  <c r="G52" i="1"/>
  <c r="G50" i="1"/>
  <c r="G53" i="1"/>
  <c r="G5" i="1"/>
  <c r="J6" i="1" l="1"/>
  <c r="J7" i="1"/>
  <c r="J53" i="1"/>
  <c r="J51" i="1"/>
  <c r="J17" i="1"/>
  <c r="J26" i="1"/>
  <c r="J29" i="1"/>
  <c r="J31" i="1"/>
  <c r="J32" i="1"/>
  <c r="J33" i="1"/>
  <c r="J15" i="1"/>
  <c r="J37" i="1"/>
  <c r="J11" i="1"/>
  <c r="J24" i="1"/>
  <c r="J34" i="1"/>
  <c r="J25" i="1"/>
  <c r="J27" i="1"/>
  <c r="J28" i="1"/>
  <c r="J30" i="1"/>
  <c r="J8" i="1"/>
  <c r="J35" i="1"/>
  <c r="J9" i="1"/>
  <c r="J5" i="1"/>
  <c r="J38" i="1"/>
  <c r="J49" i="1"/>
  <c r="J10" i="1"/>
  <c r="J40" i="1"/>
  <c r="J16" i="1"/>
  <c r="J13" i="1"/>
  <c r="J20" i="1"/>
  <c r="J52" i="1"/>
  <c r="J50" i="1"/>
  <c r="J45" i="1"/>
  <c r="J44" i="1"/>
  <c r="J48" i="1"/>
  <c r="J43" i="1"/>
  <c r="J22" i="1"/>
  <c r="J42" i="1"/>
  <c r="J23" i="1"/>
  <c r="J36" i="1"/>
  <c r="J46" i="1"/>
  <c r="J12" i="1"/>
  <c r="J18" i="1"/>
  <c r="J41" i="1"/>
  <c r="J14" i="1"/>
  <c r="J19" i="1"/>
  <c r="J47" i="1"/>
  <c r="J39" i="1"/>
  <c r="J21" i="1"/>
  <c r="B6" i="2" l="1"/>
  <c r="B7" i="2"/>
  <c r="B8" i="2"/>
  <c r="B9" i="2"/>
  <c r="B10" i="2"/>
  <c r="B11" i="2"/>
  <c r="B12" i="2"/>
  <c r="B5" i="2"/>
  <c r="A16" i="2"/>
  <c r="B16" i="2" s="1"/>
  <c r="A15" i="2"/>
  <c r="B15" i="2" s="1"/>
  <c r="A14" i="2"/>
  <c r="B14" i="2" s="1"/>
  <c r="A13" i="2"/>
  <c r="B13" i="2" s="1"/>
</calcChain>
</file>

<file path=xl/sharedStrings.xml><?xml version="1.0" encoding="utf-8"?>
<sst xmlns="http://schemas.openxmlformats.org/spreadsheetml/2006/main" count="261" uniqueCount="199">
  <si>
    <t>Air Pick Assembly</t>
  </si>
  <si>
    <t>Reference</t>
  </si>
  <si>
    <t>Qty</t>
  </si>
  <si>
    <t>Manufacturer_Part_Number</t>
  </si>
  <si>
    <t>Spec</t>
  </si>
  <si>
    <t>Orientation</t>
  </si>
  <si>
    <t>Size</t>
  </si>
  <si>
    <t>ä</t>
  </si>
  <si>
    <t>¡</t>
  </si>
  <si>
    <t>á</t>
  </si>
  <si>
    <t>â</t>
  </si>
  <si>
    <t>AirPick</t>
  </si>
  <si>
    <t>Tip</t>
  </si>
  <si>
    <t>AirPick Tips</t>
  </si>
  <si>
    <t>Tip ID</t>
  </si>
  <si>
    <t>Outer</t>
  </si>
  <si>
    <t>Tnths mm</t>
  </si>
  <si>
    <t>Tape</t>
  </si>
  <si>
    <t>Width</t>
  </si>
  <si>
    <t>æ</t>
  </si>
  <si>
    <t>å</t>
  </si>
  <si>
    <t>ã</t>
  </si>
  <si>
    <t>à</t>
  </si>
  <si>
    <t>ß</t>
  </si>
  <si>
    <t>mm</t>
  </si>
  <si>
    <t>mil</t>
  </si>
  <si>
    <t>Smallest Dim</t>
  </si>
  <si>
    <t>Mil</t>
  </si>
  <si>
    <t>0803</t>
  </si>
  <si>
    <t>1005</t>
  </si>
  <si>
    <t>2010</t>
  </si>
  <si>
    <t>3020</t>
  </si>
  <si>
    <t>4030</t>
  </si>
  <si>
    <t>6040</t>
  </si>
  <si>
    <t>8060</t>
  </si>
  <si>
    <t>3/32</t>
  </si>
  <si>
    <t>1/8</t>
  </si>
  <si>
    <t>1/4</t>
  </si>
  <si>
    <t>3/8</t>
  </si>
  <si>
    <t>1/2</t>
  </si>
  <si>
    <t>Notes</t>
  </si>
  <si>
    <t>D3</t>
  </si>
  <si>
    <t>Q1</t>
  </si>
  <si>
    <t>R10</t>
  </si>
  <si>
    <t>R12</t>
  </si>
  <si>
    <t>C1,C2</t>
  </si>
  <si>
    <t>F1</t>
  </si>
  <si>
    <t>L1</t>
  </si>
  <si>
    <t>R2</t>
  </si>
  <si>
    <t>R5</t>
  </si>
  <si>
    <t>R6</t>
  </si>
  <si>
    <t>U4</t>
  </si>
  <si>
    <t>Y1</t>
  </si>
  <si>
    <t>SMF24CA</t>
  </si>
  <si>
    <t>PDZ10B,115</t>
  </si>
  <si>
    <t>BUK6D120-60PX</t>
  </si>
  <si>
    <t>D1</t>
  </si>
  <si>
    <t>10V 2% 400mW</t>
  </si>
  <si>
    <t>0603 525nm</t>
  </si>
  <si>
    <t>TVS BiDir 24V 200W</t>
  </si>
  <si>
    <t>P-Ch 60V 8A</t>
  </si>
  <si>
    <t>R3</t>
  </si>
  <si>
    <t>R7</t>
  </si>
  <si>
    <t>CRCW040210K0FKEDC</t>
  </si>
  <si>
    <t>10K 63mW</t>
  </si>
  <si>
    <t>USBLC6-2P6</t>
  </si>
  <si>
    <t>L2</t>
  </si>
  <si>
    <t>R8</t>
  </si>
  <si>
    <t>R13</t>
  </si>
  <si>
    <t>R14</t>
  </si>
  <si>
    <t>R15</t>
  </si>
  <si>
    <t>U3</t>
  </si>
  <si>
    <t>T521D336M035ATE065</t>
  </si>
  <si>
    <t>LPS4040-223</t>
  </si>
  <si>
    <t>33u 35V</t>
  </si>
  <si>
    <t>22uH 0.8A 210mohm</t>
  </si>
  <si>
    <t>Code</t>
  </si>
  <si>
    <t>Symbol</t>
  </si>
  <si>
    <t>N</t>
  </si>
  <si>
    <t>T</t>
  </si>
  <si>
    <t>TR</t>
  </si>
  <si>
    <t>R</t>
  </si>
  <si>
    <t>BR</t>
  </si>
  <si>
    <t>BL</t>
  </si>
  <si>
    <t>L</t>
  </si>
  <si>
    <t>TL</t>
  </si>
  <si>
    <t>Symb</t>
  </si>
  <si>
    <t>Mark</t>
  </si>
  <si>
    <t>B</t>
  </si>
  <si>
    <t>Mark = Cathode</t>
  </si>
  <si>
    <t>1026 Rpi Power Hat</t>
  </si>
  <si>
    <t>C3,C4</t>
  </si>
  <si>
    <t>C5,C6</t>
  </si>
  <si>
    <t>C7,C13,C14,C15,C16,C36</t>
  </si>
  <si>
    <t>C8,C9,C17,C18,C19,C20,C22,C23,C24,C25,C26,C27,C28,C37,C38,C39,C42,C43,C45,C47,C48,C49,C50,C51,C52</t>
  </si>
  <si>
    <t>C10,C11</t>
  </si>
  <si>
    <t>C12</t>
  </si>
  <si>
    <t>C21,C29</t>
  </si>
  <si>
    <t>C30,C33,C35</t>
  </si>
  <si>
    <t>C31,C32,C34</t>
  </si>
  <si>
    <t>C40,C41,C44,C46</t>
  </si>
  <si>
    <t>D2</t>
  </si>
  <si>
    <t>D4</t>
  </si>
  <si>
    <t>FB1,FB2</t>
  </si>
  <si>
    <t>FB3,FB4,FB5,FB6</t>
  </si>
  <si>
    <t>R1</t>
  </si>
  <si>
    <t>R4</t>
  </si>
  <si>
    <t>R9</t>
  </si>
  <si>
    <t>R11,R29,R30,R31,R32</t>
  </si>
  <si>
    <t>R16,R17,R21,R22,R23,R24,R26,R27</t>
  </si>
  <si>
    <t>R18,R19,R20</t>
  </si>
  <si>
    <t>R25</t>
  </si>
  <si>
    <t>R28,R33</t>
  </si>
  <si>
    <t>R34,R35</t>
  </si>
  <si>
    <t>U1</t>
  </si>
  <si>
    <t>U2</t>
  </si>
  <si>
    <t>U5,U6</t>
  </si>
  <si>
    <t>U7</t>
  </si>
  <si>
    <t>U8,U9,U10,U11,U12</t>
  </si>
  <si>
    <t>GRJ32ER71H106KE11K</t>
  </si>
  <si>
    <t>GCM155R71H223KA55D</t>
  </si>
  <si>
    <t>GCM188R71C105KA64J</t>
  </si>
  <si>
    <t>GCM155R71C104KA55D</t>
  </si>
  <si>
    <t>GCM32ER71C226ME19L</t>
  </si>
  <si>
    <t>GRM0225C1C100FA03L</t>
  </si>
  <si>
    <t>GCM21BR70J106KE22K</t>
  </si>
  <si>
    <t>GCM155R71H104KE02J</t>
  </si>
  <si>
    <t>GCM155R71H102KA37D</t>
  </si>
  <si>
    <t>TCJB157M006R0070</t>
  </si>
  <si>
    <t>150040GS73220</t>
  </si>
  <si>
    <t>150040RS73240</t>
  </si>
  <si>
    <t>1812L110/33MR</t>
  </si>
  <si>
    <t>BLM15PX221SZ1D</t>
  </si>
  <si>
    <t>BLM18KG221SN1D</t>
  </si>
  <si>
    <t>XGL4025-152ME</t>
  </si>
  <si>
    <t>CRCW040215K0FKED</t>
  </si>
  <si>
    <t>CRCW040247K0FKED</t>
  </si>
  <si>
    <t>CRCW040295K3FKED</t>
  </si>
  <si>
    <t>CRCW04026K34FKEDC</t>
  </si>
  <si>
    <t>CRCW04024R70FNED</t>
  </si>
  <si>
    <t>TNPW040256K2BEED</t>
  </si>
  <si>
    <t>TNPW04021K00BEED</t>
  </si>
  <si>
    <t>TNPW040213K7BEED</t>
  </si>
  <si>
    <t>RCC04027K50FKED</t>
  </si>
  <si>
    <t>CRCW040212K7FKED</t>
  </si>
  <si>
    <t>CRCW040226K7FKED</t>
  </si>
  <si>
    <t>CRCW040210K2FKED</t>
  </si>
  <si>
    <t>TNPW040290K9BEED</t>
  </si>
  <si>
    <t>TNPW040210K0BEED</t>
  </si>
  <si>
    <t>CRCW04024K70FKEDC</t>
  </si>
  <si>
    <t>CRCW04021M00FKED</t>
  </si>
  <si>
    <t>TNPW04029K53BEED</t>
  </si>
  <si>
    <t>TNPW040225K5BEED</t>
  </si>
  <si>
    <t>CRCW04023K90FKED</t>
  </si>
  <si>
    <t>LM64440APPQRYFRQ1</t>
  </si>
  <si>
    <t>TLV75511PDQNR</t>
  </si>
  <si>
    <t>TLV75533PDQNR</t>
  </si>
  <si>
    <t>TUSB4041IPAPR</t>
  </si>
  <si>
    <t>TPS2561DRCR</t>
  </si>
  <si>
    <t>CAT24C32HU4I-GT3</t>
  </si>
  <si>
    <t>ECS-2520MV-240-BL-TR</t>
  </si>
  <si>
    <t>10u 50V</t>
  </si>
  <si>
    <t>22n 50V</t>
  </si>
  <si>
    <t>1u 16V</t>
  </si>
  <si>
    <t>100n 16V</t>
  </si>
  <si>
    <t>22u 16V</t>
  </si>
  <si>
    <t>10p 16V C0G</t>
  </si>
  <si>
    <t>10u 6V3</t>
  </si>
  <si>
    <t>100n 50V</t>
  </si>
  <si>
    <t>1n 50V</t>
  </si>
  <si>
    <t>150u 6V3</t>
  </si>
  <si>
    <t>0402 630nm</t>
  </si>
  <si>
    <t>1.1A 33V</t>
  </si>
  <si>
    <t>220 ohm 100MHz</t>
  </si>
  <si>
    <t>220ohm 2.2A</t>
  </si>
  <si>
    <t>1.5u 8A 11mohm</t>
  </si>
  <si>
    <t>15K 63mW</t>
  </si>
  <si>
    <t>47K 63mW</t>
  </si>
  <si>
    <t>95K3 63mW</t>
  </si>
  <si>
    <t>6K34 63mW</t>
  </si>
  <si>
    <t>4R7 63mW</t>
  </si>
  <si>
    <t>56K2 130mW</t>
  </si>
  <si>
    <t>1K 130mW</t>
  </si>
  <si>
    <t>13K7 130mW</t>
  </si>
  <si>
    <t>7K5 125mW</t>
  </si>
  <si>
    <t>12K7 63mW</t>
  </si>
  <si>
    <t>26K7 63mW</t>
  </si>
  <si>
    <t>10K2 63mW</t>
  </si>
  <si>
    <t>90K9 130mW</t>
  </si>
  <si>
    <t>10K 130mW</t>
  </si>
  <si>
    <t>4K7 63mW</t>
  </si>
  <si>
    <t>1M 63mW</t>
  </si>
  <si>
    <t>9K53 130mW</t>
  </si>
  <si>
    <t>25K5 130mW</t>
  </si>
  <si>
    <t>3K9 63mW</t>
  </si>
  <si>
    <t>4A 2.1MHz</t>
  </si>
  <si>
    <t>0.5A 1.1V Output LDO</t>
  </si>
  <si>
    <t>0.5A 3.3V Output LDO</t>
  </si>
  <si>
    <t>Mark =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</si>
</sst>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2" borderId="0" xfId="0" applyFill="1"/>
    <xf numFmtId="0" fontId="2" fillId="2" borderId="0" xfId="0" applyFont="1" applyFill="1"/>
    <xf numFmtId="0" fontId="1" fillId="3" borderId="0" xfId="0" applyFont="1" applyFill="1"/>
    <xf numFmtId="164" fontId="0" fillId="0" borderId="0" xfId="0" applyNumberFormat="1"/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1" fillId="4" borderId="0" xfId="0" applyFont="1" applyFill="1"/>
    <xf numFmtId="0" fontId="1" fillId="4" borderId="0" xfId="0" applyFont="1" applyFill="1" applyAlignment="1">
      <alignment vertical="center"/>
    </xf>
    <xf numFmtId="0" fontId="4" fillId="4" borderId="0" xfId="0" applyFont="1" applyFill="1"/>
    <xf numFmtId="0" fontId="5" fillId="4" borderId="0" xfId="0" applyFont="1" applyFill="1"/>
    <xf numFmtId="0" fontId="0" fillId="0" borderId="0" xfId="0" applyAlignment="1">
      <alignment horizontal="right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Fill="1"/>
  </cellXfs>
  <cellStyles count="1">
    <cellStyle name="Normal" xfId="0" builtinId="0"/>
  </cellStyles>
  <dxfs count="1"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</xdr:row>
      <xdr:rowOff>0</xdr:rowOff>
    </xdr:from>
    <xdr:to>
      <xdr:col>10</xdr:col>
      <xdr:colOff>1351901</xdr:colOff>
      <xdr:row>5</xdr:row>
      <xdr:rowOff>7575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1DFC04C-59D5-A6C9-A998-211AD2AA54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83820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7</xdr:row>
      <xdr:rowOff>0</xdr:rowOff>
    </xdr:from>
    <xdr:to>
      <xdr:col>10</xdr:col>
      <xdr:colOff>1390001</xdr:colOff>
      <xdr:row>8</xdr:row>
      <xdr:rowOff>7575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80AC238-2BCF-48EA-BBC5-C6434281C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1895475"/>
          <a:ext cx="13900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8</xdr:row>
      <xdr:rowOff>0</xdr:rowOff>
    </xdr:from>
    <xdr:to>
      <xdr:col>10</xdr:col>
      <xdr:colOff>1390001</xdr:colOff>
      <xdr:row>9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168B7C7-6CC3-4DA1-A3DB-B744185AC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2247900"/>
          <a:ext cx="13900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5</xdr:row>
      <xdr:rowOff>0</xdr:rowOff>
    </xdr:from>
    <xdr:to>
      <xdr:col>10</xdr:col>
      <xdr:colOff>1390001</xdr:colOff>
      <xdr:row>6</xdr:row>
      <xdr:rowOff>7575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CAB8C43-E8AC-4AC5-B062-0FE1E8E1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189547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</xdr:row>
      <xdr:rowOff>0</xdr:rowOff>
    </xdr:from>
    <xdr:to>
      <xdr:col>10</xdr:col>
      <xdr:colOff>1390001</xdr:colOff>
      <xdr:row>7</xdr:row>
      <xdr:rowOff>7575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0642C44-0B44-424B-90DC-6A7178AFE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224790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35</xdr:row>
      <xdr:rowOff>0</xdr:rowOff>
    </xdr:from>
    <xdr:to>
      <xdr:col>10</xdr:col>
      <xdr:colOff>1351901</xdr:colOff>
      <xdr:row>35</xdr:row>
      <xdr:rowOff>9525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75AC34D6-2921-408A-8EF1-22AE1B5C8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2952750"/>
          <a:ext cx="1351901" cy="542925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9</xdr:row>
      <xdr:rowOff>0</xdr:rowOff>
    </xdr:from>
    <xdr:to>
      <xdr:col>10</xdr:col>
      <xdr:colOff>1351901</xdr:colOff>
      <xdr:row>10</xdr:row>
      <xdr:rowOff>9525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7243362-82B2-457C-B104-B00505831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3848100"/>
          <a:ext cx="1351901" cy="542925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10</xdr:row>
      <xdr:rowOff>0</xdr:rowOff>
    </xdr:from>
    <xdr:to>
      <xdr:col>10</xdr:col>
      <xdr:colOff>1351901</xdr:colOff>
      <xdr:row>11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1852109-DA97-4731-8425-015AA0479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4381500"/>
          <a:ext cx="1351901" cy="542925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11</xdr:row>
      <xdr:rowOff>0</xdr:rowOff>
    </xdr:from>
    <xdr:to>
      <xdr:col>10</xdr:col>
      <xdr:colOff>1351901</xdr:colOff>
      <xdr:row>12</xdr:row>
      <xdr:rowOff>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0E9153E-7D01-4D24-8E3E-34F6844CA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4914900"/>
          <a:ext cx="1351901" cy="542925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1351901</xdr:colOff>
      <xdr:row>4</xdr:row>
      <xdr:rowOff>7575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92D477D-6F8F-4069-A1E7-4AA7559BE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561975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12</xdr:row>
      <xdr:rowOff>0</xdr:rowOff>
    </xdr:from>
    <xdr:to>
      <xdr:col>10</xdr:col>
      <xdr:colOff>1351901</xdr:colOff>
      <xdr:row>13</xdr:row>
      <xdr:rowOff>7575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3CD1D3A-E5BA-468B-AADE-E37B96C71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597217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13</xdr:row>
      <xdr:rowOff>0</xdr:rowOff>
    </xdr:from>
    <xdr:to>
      <xdr:col>10</xdr:col>
      <xdr:colOff>1351901</xdr:colOff>
      <xdr:row>14</xdr:row>
      <xdr:rowOff>7575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E23F9A1D-CE67-465F-8D6B-A95C4E061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632460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14</xdr:row>
      <xdr:rowOff>0</xdr:rowOff>
    </xdr:from>
    <xdr:to>
      <xdr:col>10</xdr:col>
      <xdr:colOff>1351901</xdr:colOff>
      <xdr:row>15</xdr:row>
      <xdr:rowOff>7575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FC0291CE-7B58-4963-91E5-DF624601A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667702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15</xdr:row>
      <xdr:rowOff>0</xdr:rowOff>
    </xdr:from>
    <xdr:to>
      <xdr:col>10</xdr:col>
      <xdr:colOff>1351901</xdr:colOff>
      <xdr:row>16</xdr:row>
      <xdr:rowOff>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4CB773F6-C112-4DA9-A9A9-E37A40392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702945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1351901</xdr:colOff>
      <xdr:row>17</xdr:row>
      <xdr:rowOff>7575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38DDE3BD-CF95-4EF7-A4B3-7B14582590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773430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17</xdr:row>
      <xdr:rowOff>0</xdr:rowOff>
    </xdr:from>
    <xdr:to>
      <xdr:col>10</xdr:col>
      <xdr:colOff>1351901</xdr:colOff>
      <xdr:row>18</xdr:row>
      <xdr:rowOff>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EEA976BE-1911-4E1C-A16A-CA6311A1A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808672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46</xdr:row>
      <xdr:rowOff>0</xdr:rowOff>
    </xdr:from>
    <xdr:to>
      <xdr:col>10</xdr:col>
      <xdr:colOff>1351901</xdr:colOff>
      <xdr:row>46</xdr:row>
      <xdr:rowOff>7575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F5B27BB6-8031-4615-A0F7-2254F715B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843915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18</xdr:row>
      <xdr:rowOff>0</xdr:rowOff>
    </xdr:from>
    <xdr:to>
      <xdr:col>10</xdr:col>
      <xdr:colOff>1351901</xdr:colOff>
      <xdr:row>19</xdr:row>
      <xdr:rowOff>7575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5C5D2CCB-17E0-4EA2-8A94-C605267F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879157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19</xdr:row>
      <xdr:rowOff>0</xdr:rowOff>
    </xdr:from>
    <xdr:to>
      <xdr:col>10</xdr:col>
      <xdr:colOff>1351901</xdr:colOff>
      <xdr:row>20</xdr:row>
      <xdr:rowOff>7575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8F378418-E6A8-4708-96B5-3D91F90D2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914400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20</xdr:row>
      <xdr:rowOff>0</xdr:rowOff>
    </xdr:from>
    <xdr:to>
      <xdr:col>10</xdr:col>
      <xdr:colOff>1351901</xdr:colOff>
      <xdr:row>21</xdr:row>
      <xdr:rowOff>7575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47DE5B71-4479-48D4-A71F-0C1CB3970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949642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21</xdr:row>
      <xdr:rowOff>0</xdr:rowOff>
    </xdr:from>
    <xdr:to>
      <xdr:col>10</xdr:col>
      <xdr:colOff>1351901</xdr:colOff>
      <xdr:row>22</xdr:row>
      <xdr:rowOff>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2A59BE23-E07B-433E-B34D-5547B048D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984885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5</xdr:row>
      <xdr:rowOff>0</xdr:rowOff>
    </xdr:from>
    <xdr:to>
      <xdr:col>10</xdr:col>
      <xdr:colOff>1351901</xdr:colOff>
      <xdr:row>5</xdr:row>
      <xdr:rowOff>7575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2AEA79AC-AEDA-459C-80B8-36149CF9C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1283017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22</xdr:row>
      <xdr:rowOff>0</xdr:rowOff>
    </xdr:from>
    <xdr:to>
      <xdr:col>10</xdr:col>
      <xdr:colOff>1351901</xdr:colOff>
      <xdr:row>23</xdr:row>
      <xdr:rowOff>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206A491F-C10B-486B-AED8-16B4D1C31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1318260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42</xdr:row>
      <xdr:rowOff>0</xdr:rowOff>
    </xdr:from>
    <xdr:to>
      <xdr:col>10</xdr:col>
      <xdr:colOff>1351901</xdr:colOff>
      <xdr:row>42</xdr:row>
      <xdr:rowOff>7575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27519D48-73F3-4939-93A8-C94A7940D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1353502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23</xdr:row>
      <xdr:rowOff>0</xdr:rowOff>
    </xdr:from>
    <xdr:to>
      <xdr:col>10</xdr:col>
      <xdr:colOff>1351901</xdr:colOff>
      <xdr:row>24</xdr:row>
      <xdr:rowOff>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24D61037-8EB1-419C-8587-963F08986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1388745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50</xdr:row>
      <xdr:rowOff>0</xdr:rowOff>
    </xdr:from>
    <xdr:to>
      <xdr:col>10</xdr:col>
      <xdr:colOff>1351901</xdr:colOff>
      <xdr:row>50</xdr:row>
      <xdr:rowOff>7575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27AF7D07-7C2F-44E8-A67F-2855FB640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1494472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24</xdr:row>
      <xdr:rowOff>0</xdr:rowOff>
    </xdr:from>
    <xdr:to>
      <xdr:col>10</xdr:col>
      <xdr:colOff>1351901</xdr:colOff>
      <xdr:row>25</xdr:row>
      <xdr:rowOff>7575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9CDDACBC-BFEB-41B9-84BA-0BA538CF73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1723072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25</xdr:row>
      <xdr:rowOff>0</xdr:rowOff>
    </xdr:from>
    <xdr:to>
      <xdr:col>10</xdr:col>
      <xdr:colOff>1351901</xdr:colOff>
      <xdr:row>26</xdr:row>
      <xdr:rowOff>7575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7DB89E11-00A5-4DEC-A2EB-AD392F22B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1758315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26</xdr:row>
      <xdr:rowOff>0</xdr:rowOff>
    </xdr:from>
    <xdr:to>
      <xdr:col>10</xdr:col>
      <xdr:colOff>1351901</xdr:colOff>
      <xdr:row>27</xdr:row>
      <xdr:rowOff>7575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9AAA4659-7F1C-45D6-BB54-711A35480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1793557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27</xdr:row>
      <xdr:rowOff>0</xdr:rowOff>
    </xdr:from>
    <xdr:to>
      <xdr:col>10</xdr:col>
      <xdr:colOff>1351901</xdr:colOff>
      <xdr:row>28</xdr:row>
      <xdr:rowOff>7575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66AB354C-37B8-4BA5-B518-69A596111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1828800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28</xdr:row>
      <xdr:rowOff>0</xdr:rowOff>
    </xdr:from>
    <xdr:to>
      <xdr:col>10</xdr:col>
      <xdr:colOff>1351901</xdr:colOff>
      <xdr:row>29</xdr:row>
      <xdr:rowOff>7575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21418E54-B7C8-42C2-95E6-577ADDDA5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1864042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29</xdr:row>
      <xdr:rowOff>0</xdr:rowOff>
    </xdr:from>
    <xdr:to>
      <xdr:col>10</xdr:col>
      <xdr:colOff>1351901</xdr:colOff>
      <xdr:row>30</xdr:row>
      <xdr:rowOff>7575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3B5D374B-CC77-484C-B933-EA3758D20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1899285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30</xdr:row>
      <xdr:rowOff>0</xdr:rowOff>
    </xdr:from>
    <xdr:to>
      <xdr:col>10</xdr:col>
      <xdr:colOff>1351901</xdr:colOff>
      <xdr:row>31</xdr:row>
      <xdr:rowOff>7575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42F266A0-08D7-4A05-8AF2-5C978D57C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1934527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31</xdr:row>
      <xdr:rowOff>0</xdr:rowOff>
    </xdr:from>
    <xdr:to>
      <xdr:col>10</xdr:col>
      <xdr:colOff>1351901</xdr:colOff>
      <xdr:row>32</xdr:row>
      <xdr:rowOff>7575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A84E4568-7BF1-4B5E-88BD-B57FBB352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1969770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34</xdr:row>
      <xdr:rowOff>0</xdr:rowOff>
    </xdr:from>
    <xdr:to>
      <xdr:col>10</xdr:col>
      <xdr:colOff>1351901</xdr:colOff>
      <xdr:row>35</xdr:row>
      <xdr:rowOff>7575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494A96D4-6157-4254-83C0-0C3F2BCAA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2111692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35</xdr:row>
      <xdr:rowOff>0</xdr:rowOff>
    </xdr:from>
    <xdr:to>
      <xdr:col>10</xdr:col>
      <xdr:colOff>1351901</xdr:colOff>
      <xdr:row>36</xdr:row>
      <xdr:rowOff>7575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877F3D35-72CA-4EF3-BB18-FE2A556EE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2146935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36</xdr:row>
      <xdr:rowOff>0</xdr:rowOff>
    </xdr:from>
    <xdr:to>
      <xdr:col>10</xdr:col>
      <xdr:colOff>1351901</xdr:colOff>
      <xdr:row>37</xdr:row>
      <xdr:rowOff>7575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AADEB9EC-DC07-44BF-97B3-B3493A9FA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2182177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38</xdr:row>
      <xdr:rowOff>0</xdr:rowOff>
    </xdr:from>
    <xdr:to>
      <xdr:col>10</xdr:col>
      <xdr:colOff>1351901</xdr:colOff>
      <xdr:row>39</xdr:row>
      <xdr:rowOff>7575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DCA64208-E13B-47D8-A1D8-921BB29B4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2252662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39</xdr:row>
      <xdr:rowOff>0</xdr:rowOff>
    </xdr:from>
    <xdr:to>
      <xdr:col>10</xdr:col>
      <xdr:colOff>1351901</xdr:colOff>
      <xdr:row>40</xdr:row>
      <xdr:rowOff>7575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9C7DAAE0-E8A1-4DA4-8362-CEA0825CF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2287905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40</xdr:row>
      <xdr:rowOff>0</xdr:rowOff>
    </xdr:from>
    <xdr:to>
      <xdr:col>10</xdr:col>
      <xdr:colOff>1351901</xdr:colOff>
      <xdr:row>41</xdr:row>
      <xdr:rowOff>7575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BEE75803-A47A-472D-9ACD-2D6D3BDFA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2323147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32</xdr:row>
      <xdr:rowOff>0</xdr:rowOff>
    </xdr:from>
    <xdr:to>
      <xdr:col>10</xdr:col>
      <xdr:colOff>1351901</xdr:colOff>
      <xdr:row>33</xdr:row>
      <xdr:rowOff>7575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314B44D7-24D3-43CE-A563-9B7C425E6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20050125"/>
          <a:ext cx="1351901" cy="540975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33</xdr:row>
      <xdr:rowOff>0</xdr:rowOff>
    </xdr:from>
    <xdr:to>
      <xdr:col>10</xdr:col>
      <xdr:colOff>1351901</xdr:colOff>
      <xdr:row>34</xdr:row>
      <xdr:rowOff>7575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ADFE12F3-6C3F-48A0-AB47-055C82FF3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20583525"/>
          <a:ext cx="1351901" cy="540975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37</xdr:row>
      <xdr:rowOff>0</xdr:rowOff>
    </xdr:from>
    <xdr:to>
      <xdr:col>10</xdr:col>
      <xdr:colOff>1351901</xdr:colOff>
      <xdr:row>38</xdr:row>
      <xdr:rowOff>7575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44D9DD-C068-4744-BBF1-4D504A22C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2006917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41</xdr:row>
      <xdr:rowOff>0</xdr:rowOff>
    </xdr:from>
    <xdr:to>
      <xdr:col>10</xdr:col>
      <xdr:colOff>1351901</xdr:colOff>
      <xdr:row>42</xdr:row>
      <xdr:rowOff>7575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2176752-92DF-45A8-AD5F-E2822AAD2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2165985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42</xdr:row>
      <xdr:rowOff>0</xdr:rowOff>
    </xdr:from>
    <xdr:to>
      <xdr:col>10</xdr:col>
      <xdr:colOff>1351901</xdr:colOff>
      <xdr:row>43</xdr:row>
      <xdr:rowOff>7575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58D280C-2E2F-424F-A0D4-9949E724F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2201227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43</xdr:row>
      <xdr:rowOff>0</xdr:rowOff>
    </xdr:from>
    <xdr:to>
      <xdr:col>10</xdr:col>
      <xdr:colOff>1351901</xdr:colOff>
      <xdr:row>44</xdr:row>
      <xdr:rowOff>7575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13C684A-9D3B-46C6-904F-53406CFF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2236470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44</xdr:row>
      <xdr:rowOff>0</xdr:rowOff>
    </xdr:from>
    <xdr:to>
      <xdr:col>10</xdr:col>
      <xdr:colOff>1351901</xdr:colOff>
      <xdr:row>45</xdr:row>
      <xdr:rowOff>7575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C0493DC-0F16-4C24-84ED-CFB7259A5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2271712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45</xdr:row>
      <xdr:rowOff>0</xdr:rowOff>
    </xdr:from>
    <xdr:to>
      <xdr:col>10</xdr:col>
      <xdr:colOff>1351901</xdr:colOff>
      <xdr:row>46</xdr:row>
      <xdr:rowOff>7575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D280A1-E8BF-467E-8EB0-15C557F68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2306955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46</xdr:row>
      <xdr:rowOff>0</xdr:rowOff>
    </xdr:from>
    <xdr:to>
      <xdr:col>10</xdr:col>
      <xdr:colOff>1351901</xdr:colOff>
      <xdr:row>47</xdr:row>
      <xdr:rowOff>7575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DEAE920-8852-4204-B343-E0ED95610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2342197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47</xdr:row>
      <xdr:rowOff>0</xdr:rowOff>
    </xdr:from>
    <xdr:to>
      <xdr:col>10</xdr:col>
      <xdr:colOff>1351901</xdr:colOff>
      <xdr:row>48</xdr:row>
      <xdr:rowOff>7575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5D40F00-9609-4E0F-9259-61D56E6FF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2377440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48</xdr:row>
      <xdr:rowOff>0</xdr:rowOff>
    </xdr:from>
    <xdr:to>
      <xdr:col>10</xdr:col>
      <xdr:colOff>1351901</xdr:colOff>
      <xdr:row>49</xdr:row>
      <xdr:rowOff>7575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F120C59-0829-4D1B-8C4B-8AAE679E3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2412682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49</xdr:row>
      <xdr:rowOff>0</xdr:rowOff>
    </xdr:from>
    <xdr:to>
      <xdr:col>10</xdr:col>
      <xdr:colOff>1351901</xdr:colOff>
      <xdr:row>50</xdr:row>
      <xdr:rowOff>7575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73BB539D-3F6B-4313-A8FA-9B2622FDA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2447925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50</xdr:row>
      <xdr:rowOff>0</xdr:rowOff>
    </xdr:from>
    <xdr:to>
      <xdr:col>10</xdr:col>
      <xdr:colOff>1351901</xdr:colOff>
      <xdr:row>51</xdr:row>
      <xdr:rowOff>7575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643B7D98-7973-4612-8BA9-807213437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2483167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51</xdr:row>
      <xdr:rowOff>0</xdr:rowOff>
    </xdr:from>
    <xdr:to>
      <xdr:col>10</xdr:col>
      <xdr:colOff>1351901</xdr:colOff>
      <xdr:row>52</xdr:row>
      <xdr:rowOff>7575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D00F2208-395E-47C8-AB48-76D646D19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25184100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52</xdr:row>
      <xdr:rowOff>0</xdr:rowOff>
    </xdr:from>
    <xdr:to>
      <xdr:col>10</xdr:col>
      <xdr:colOff>1351901</xdr:colOff>
      <xdr:row>53</xdr:row>
      <xdr:rowOff>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BDC4090F-1A49-44F2-994B-AC5947488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25536525"/>
          <a:ext cx="1351901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53</xdr:row>
      <xdr:rowOff>0</xdr:rowOff>
    </xdr:from>
    <xdr:to>
      <xdr:col>10</xdr:col>
      <xdr:colOff>1351901</xdr:colOff>
      <xdr:row>53</xdr:row>
      <xdr:rowOff>7575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15A15AFF-AAA4-4B05-ABD1-3221F8D20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35061525"/>
          <a:ext cx="1351901" cy="36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53"/>
  <sheetViews>
    <sheetView tabSelected="1" zoomScaleNormal="100" workbookViewId="0">
      <pane ySplit="4" topLeftCell="A5" activePane="bottomLeft" state="frozen"/>
      <selection pane="bottomLeft" activeCell="A5" sqref="A5"/>
    </sheetView>
  </sheetViews>
  <sheetFormatPr defaultColWidth="9.140625" defaultRowHeight="15" x14ac:dyDescent="0.25"/>
  <cols>
    <col min="1" max="1" width="16.28515625" customWidth="1"/>
    <col min="2" max="2" width="6.42578125" bestFit="1" customWidth="1"/>
    <col min="3" max="3" width="24.140625" customWidth="1"/>
    <col min="4" max="4" width="20.85546875" bestFit="1" customWidth="1"/>
    <col min="5" max="5" width="6.42578125" customWidth="1"/>
    <col min="6" max="7" width="5.7109375" customWidth="1"/>
    <col min="8" max="8" width="6.42578125" customWidth="1"/>
    <col min="9" max="9" width="6.140625" customWidth="1"/>
    <col min="10" max="10" width="8.42578125" bestFit="1" customWidth="1"/>
    <col min="11" max="11" width="20.28515625" style="6" customWidth="1"/>
    <col min="12" max="12" width="12.140625" customWidth="1"/>
  </cols>
  <sheetData>
    <row r="1" spans="1:14" ht="21" x14ac:dyDescent="0.35">
      <c r="A1" s="3" t="s">
        <v>90</v>
      </c>
      <c r="B1" s="2"/>
      <c r="C1" s="2"/>
    </row>
    <row r="2" spans="1:14" x14ac:dyDescent="0.25">
      <c r="A2" s="4" t="s">
        <v>0</v>
      </c>
      <c r="H2" s="10" t="s">
        <v>26</v>
      </c>
      <c r="I2" s="11"/>
    </row>
    <row r="3" spans="1:14" x14ac:dyDescent="0.25">
      <c r="A3" s="1"/>
      <c r="B3" s="1"/>
      <c r="C3" s="1"/>
      <c r="D3" s="1"/>
      <c r="E3" s="8" t="s">
        <v>17</v>
      </c>
      <c r="F3" s="8" t="s">
        <v>87</v>
      </c>
      <c r="G3" s="8" t="s">
        <v>87</v>
      </c>
      <c r="H3" s="8" t="s">
        <v>6</v>
      </c>
      <c r="I3" s="8" t="s">
        <v>6</v>
      </c>
      <c r="J3" s="8" t="s">
        <v>11</v>
      </c>
    </row>
    <row r="4" spans="1:14" x14ac:dyDescent="0.25">
      <c r="A4" s="8" t="s">
        <v>1</v>
      </c>
      <c r="B4" s="8" t="s">
        <v>2</v>
      </c>
      <c r="C4" s="8" t="s">
        <v>3</v>
      </c>
      <c r="D4" s="8" t="s">
        <v>4</v>
      </c>
      <c r="E4" s="8" t="s">
        <v>18</v>
      </c>
      <c r="F4" s="8" t="s">
        <v>76</v>
      </c>
      <c r="G4" s="8" t="s">
        <v>86</v>
      </c>
      <c r="H4" s="8" t="s">
        <v>24</v>
      </c>
      <c r="I4" s="8" t="s">
        <v>25</v>
      </c>
      <c r="J4" s="8" t="s">
        <v>12</v>
      </c>
      <c r="K4" s="9" t="s">
        <v>17</v>
      </c>
      <c r="L4" s="8" t="s">
        <v>40</v>
      </c>
      <c r="N4" s="7"/>
    </row>
    <row r="5" spans="1:14" s="6" customFormat="1" ht="42" customHeight="1" x14ac:dyDescent="0.25">
      <c r="A5" t="s">
        <v>45</v>
      </c>
      <c r="B5">
        <v>2</v>
      </c>
      <c r="C5" t="s">
        <v>72</v>
      </c>
      <c r="D5" t="s">
        <v>74</v>
      </c>
      <c r="E5" s="14">
        <v>12</v>
      </c>
      <c r="F5" s="15" t="s">
        <v>88</v>
      </c>
      <c r="G5" s="7" t="str">
        <f>VLOOKUP(F5,Orientations,2,FALSE)</f>
        <v>â</v>
      </c>
      <c r="H5" s="14">
        <v>4</v>
      </c>
      <c r="I5" s="14"/>
      <c r="J5" s="6" t="str">
        <f>IF(NOT(ISBLANK(H5)),VLOOKUP(H5*10,mmToAPTip,2,TRUE),VLOOKUP(I5,MilToAPTip,3,TRUE))</f>
        <v>1/8</v>
      </c>
      <c r="L5" s="13" t="s">
        <v>198</v>
      </c>
      <c r="N5" s="7"/>
    </row>
    <row r="6" spans="1:14" s="6" customFormat="1" ht="42" customHeight="1" x14ac:dyDescent="0.25">
      <c r="A6" t="s">
        <v>47</v>
      </c>
      <c r="B6">
        <v>1</v>
      </c>
      <c r="C6" s="16" t="s">
        <v>73</v>
      </c>
      <c r="D6" t="s">
        <v>75</v>
      </c>
      <c r="E6" s="14">
        <v>12</v>
      </c>
      <c r="F6" s="15" t="s">
        <v>78</v>
      </c>
      <c r="G6" s="7" t="str">
        <f>VLOOKUP(F6,Orientations,2,FALSE)</f>
        <v>¡</v>
      </c>
      <c r="H6" s="14">
        <v>4</v>
      </c>
      <c r="I6" s="14"/>
      <c r="J6" s="6" t="str">
        <f>IF(NOT(ISBLANK(H6)),VLOOKUP(H6*10,mmToAPTip,2,TRUE),VLOOKUP(I6,MilToAPTip,3,TRUE))</f>
        <v>1/8</v>
      </c>
      <c r="L6"/>
      <c r="N6" s="7"/>
    </row>
    <row r="7" spans="1:14" s="6" customFormat="1" ht="42" customHeight="1" x14ac:dyDescent="0.25">
      <c r="A7" t="s">
        <v>66</v>
      </c>
      <c r="B7">
        <v>1</v>
      </c>
      <c r="C7" s="16" t="s">
        <v>134</v>
      </c>
      <c r="D7" t="s">
        <v>175</v>
      </c>
      <c r="E7" s="14">
        <v>12</v>
      </c>
      <c r="F7" s="15" t="s">
        <v>78</v>
      </c>
      <c r="G7" s="7" t="str">
        <f>VLOOKUP(F7,Orientations,2,FALSE)</f>
        <v>¡</v>
      </c>
      <c r="H7" s="14">
        <v>4</v>
      </c>
      <c r="I7" s="14"/>
      <c r="J7" s="6" t="str">
        <f>IF(NOT(ISBLANK(H7)),VLOOKUP(H7*10,mmToAPTip,2,TRUE),VLOOKUP(I7,MilToAPTip,3,TRUE))</f>
        <v>1/8</v>
      </c>
      <c r="L7"/>
      <c r="N7" s="7"/>
    </row>
    <row r="8" spans="1:14" s="6" customFormat="1" ht="42" customHeight="1" x14ac:dyDescent="0.25">
      <c r="A8" t="s">
        <v>114</v>
      </c>
      <c r="B8">
        <v>1</v>
      </c>
      <c r="C8" t="s">
        <v>154</v>
      </c>
      <c r="D8" t="s">
        <v>195</v>
      </c>
      <c r="E8" s="14">
        <v>12</v>
      </c>
      <c r="F8" s="15" t="s">
        <v>85</v>
      </c>
      <c r="G8" s="7" t="str">
        <f>VLOOKUP(F8,Orientations,2,FALSE)</f>
        <v>ã</v>
      </c>
      <c r="H8" s="14">
        <v>4.0999999999999996</v>
      </c>
      <c r="I8" s="14"/>
      <c r="J8" s="6" t="str">
        <f>IF(NOT(ISBLANK(H8)),VLOOKUP(H8*10,mmToAPTip,2,TRUE),VLOOKUP(I8,MilToAPTip,3,TRUE))</f>
        <v>1/8</v>
      </c>
      <c r="L8" s="16"/>
      <c r="N8" s="7"/>
    </row>
    <row r="9" spans="1:14" s="6" customFormat="1" ht="27.75" customHeight="1" x14ac:dyDescent="0.25">
      <c r="A9" t="s">
        <v>101</v>
      </c>
      <c r="B9">
        <v>1</v>
      </c>
      <c r="C9" t="s">
        <v>129</v>
      </c>
      <c r="D9" t="s">
        <v>58</v>
      </c>
      <c r="E9" s="14">
        <v>8</v>
      </c>
      <c r="F9" s="15" t="s">
        <v>79</v>
      </c>
      <c r="G9" s="7" t="str">
        <f>VLOOKUP(F9,Orientations,2,FALSE)</f>
        <v>á</v>
      </c>
      <c r="H9" s="14">
        <v>0.5</v>
      </c>
      <c r="I9" s="14"/>
      <c r="J9" s="6" t="str">
        <f>IF(NOT(ISBLANK(H9)),VLOOKUP(H9*10,mmToAPTip,2,TRUE),VLOOKUP(I9,MilToAPTip,3,TRUE))</f>
        <v>1005</v>
      </c>
      <c r="L9" s="13" t="s">
        <v>89</v>
      </c>
      <c r="N9" s="7"/>
    </row>
    <row r="10" spans="1:14" s="6" customFormat="1" ht="27.75" customHeight="1" x14ac:dyDescent="0.25">
      <c r="A10" t="s">
        <v>102</v>
      </c>
      <c r="B10">
        <v>1</v>
      </c>
      <c r="C10" t="s">
        <v>130</v>
      </c>
      <c r="D10" t="s">
        <v>171</v>
      </c>
      <c r="E10" s="14">
        <v>8</v>
      </c>
      <c r="F10" s="15" t="s">
        <v>79</v>
      </c>
      <c r="G10" s="7" t="str">
        <f>VLOOKUP(F10,Orientations,2,FALSE)</f>
        <v>á</v>
      </c>
      <c r="H10" s="14">
        <v>0.5</v>
      </c>
      <c r="I10" s="14"/>
      <c r="J10" s="6" t="str">
        <f>IF(NOT(ISBLANK(H10)),VLOOKUP(H10*10,mmToAPTip,2,TRUE),VLOOKUP(I10,MilToAPTip,3,TRUE))</f>
        <v>1005</v>
      </c>
      <c r="L10" s="13" t="s">
        <v>89</v>
      </c>
      <c r="N10" s="7"/>
    </row>
    <row r="11" spans="1:14" s="6" customFormat="1" ht="27.75" customHeight="1" x14ac:dyDescent="0.25">
      <c r="A11" t="s">
        <v>96</v>
      </c>
      <c r="B11">
        <v>1</v>
      </c>
      <c r="C11" t="s">
        <v>124</v>
      </c>
      <c r="D11" t="s">
        <v>166</v>
      </c>
      <c r="E11" s="14">
        <v>8</v>
      </c>
      <c r="F11" s="15" t="s">
        <v>78</v>
      </c>
      <c r="G11" s="7" t="str">
        <f>VLOOKUP(F11,Orientations,2,FALSE)</f>
        <v>¡</v>
      </c>
      <c r="H11" s="14"/>
      <c r="I11" s="14">
        <v>20</v>
      </c>
      <c r="J11" s="6" t="str">
        <f>IF(NOT(ISBLANK(H11)),VLOOKUP(H11*10,mmToAPTip,2,TRUE),VLOOKUP(I11,MilToAPTip,3,TRUE))</f>
        <v>2010</v>
      </c>
      <c r="L11"/>
      <c r="N11" s="7"/>
    </row>
    <row r="12" spans="1:14" s="6" customFormat="1" ht="27.75" customHeight="1" x14ac:dyDescent="0.25">
      <c r="A12" t="s">
        <v>98</v>
      </c>
      <c r="B12">
        <v>3</v>
      </c>
      <c r="C12" t="s">
        <v>126</v>
      </c>
      <c r="D12" t="s">
        <v>168</v>
      </c>
      <c r="E12" s="14">
        <v>8</v>
      </c>
      <c r="F12" s="15" t="s">
        <v>78</v>
      </c>
      <c r="G12" s="7" t="str">
        <f>VLOOKUP(F12,Orientations,2,FALSE)</f>
        <v>¡</v>
      </c>
      <c r="H12" s="14"/>
      <c r="I12" s="14">
        <v>20</v>
      </c>
      <c r="J12" s="6" t="str">
        <f>IF(NOT(ISBLANK(H12)),VLOOKUP(H12*10,mmToAPTip,2,TRUE),VLOOKUP(I12,MilToAPTip,3,TRUE))</f>
        <v>2010</v>
      </c>
      <c r="L12" s="13"/>
      <c r="N12" s="7"/>
    </row>
    <row r="13" spans="1:14" s="6" customFormat="1" ht="27.75" customHeight="1" x14ac:dyDescent="0.25">
      <c r="A13" t="s">
        <v>99</v>
      </c>
      <c r="B13">
        <v>3</v>
      </c>
      <c r="C13" t="s">
        <v>127</v>
      </c>
      <c r="D13" t="s">
        <v>169</v>
      </c>
      <c r="E13" s="14">
        <v>8</v>
      </c>
      <c r="F13" s="15" t="s">
        <v>78</v>
      </c>
      <c r="G13" s="7" t="str">
        <f>VLOOKUP(F13,Orientations,2,FALSE)</f>
        <v>¡</v>
      </c>
      <c r="H13" s="14"/>
      <c r="I13" s="14">
        <v>20</v>
      </c>
      <c r="J13" s="6" t="str">
        <f>IF(NOT(ISBLANK(H13)),VLOOKUP(H13*10,mmToAPTip,2,TRUE),VLOOKUP(I13,MilToAPTip,3,TRUE))</f>
        <v>2010</v>
      </c>
      <c r="L13" s="13"/>
    </row>
    <row r="14" spans="1:14" s="6" customFormat="1" ht="27.75" customHeight="1" x14ac:dyDescent="0.25">
      <c r="A14" t="s">
        <v>92</v>
      </c>
      <c r="B14">
        <v>2</v>
      </c>
      <c r="C14" t="s">
        <v>120</v>
      </c>
      <c r="D14" t="s">
        <v>162</v>
      </c>
      <c r="E14" s="14">
        <v>8</v>
      </c>
      <c r="F14" s="15" t="s">
        <v>78</v>
      </c>
      <c r="G14" s="7" t="str">
        <f>VLOOKUP(F14,Orientations,2,FALSE)</f>
        <v>¡</v>
      </c>
      <c r="H14" s="14"/>
      <c r="I14" s="14">
        <v>20</v>
      </c>
      <c r="J14" s="6" t="str">
        <f>IF(NOT(ISBLANK(H14)),VLOOKUP(H14*10,mmToAPTip,2,TRUE),VLOOKUP(I14,MilToAPTip,3,TRUE))</f>
        <v>2010</v>
      </c>
      <c r="L14" s="13"/>
    </row>
    <row r="15" spans="1:14" s="6" customFormat="1" ht="27.75" customHeight="1" x14ac:dyDescent="0.25">
      <c r="A15" t="s">
        <v>94</v>
      </c>
      <c r="B15">
        <v>25</v>
      </c>
      <c r="C15" t="s">
        <v>122</v>
      </c>
      <c r="D15" t="s">
        <v>164</v>
      </c>
      <c r="E15" s="14">
        <v>8</v>
      </c>
      <c r="F15" s="15" t="s">
        <v>78</v>
      </c>
      <c r="G15" s="7" t="str">
        <f>VLOOKUP(F15,Orientations,2,FALSE)</f>
        <v>¡</v>
      </c>
      <c r="H15" s="14"/>
      <c r="I15" s="14">
        <v>20</v>
      </c>
      <c r="J15" s="6" t="str">
        <f>IF(NOT(ISBLANK(H15)),VLOOKUP(H15*10,mmToAPTip,2,TRUE),VLOOKUP(I15,MilToAPTip,3,TRUE))</f>
        <v>2010</v>
      </c>
      <c r="L15"/>
    </row>
    <row r="16" spans="1:14" s="6" customFormat="1" ht="27.75" customHeight="1" x14ac:dyDescent="0.25">
      <c r="A16" t="s">
        <v>103</v>
      </c>
      <c r="B16">
        <v>2</v>
      </c>
      <c r="C16" t="s">
        <v>132</v>
      </c>
      <c r="D16" t="s">
        <v>173</v>
      </c>
      <c r="E16" s="14">
        <v>8</v>
      </c>
      <c r="F16" s="15" t="s">
        <v>78</v>
      </c>
      <c r="G16" s="7" t="str">
        <f>VLOOKUP(F16,Orientations,2,FALSE)</f>
        <v>¡</v>
      </c>
      <c r="H16" s="14"/>
      <c r="I16" s="14">
        <v>20</v>
      </c>
      <c r="J16" s="6" t="str">
        <f>IF(NOT(ISBLANK(H16)),VLOOKUP(H16*10,mmToAPTip,2,TRUE),VLOOKUP(I16,MilToAPTip,3,TRUE))</f>
        <v>2010</v>
      </c>
      <c r="L16" s="13"/>
    </row>
    <row r="17" spans="1:12" s="6" customFormat="1" ht="27.75" customHeight="1" x14ac:dyDescent="0.25">
      <c r="A17" t="s">
        <v>105</v>
      </c>
      <c r="B17">
        <v>1</v>
      </c>
      <c r="C17" t="s">
        <v>135</v>
      </c>
      <c r="D17" t="s">
        <v>176</v>
      </c>
      <c r="E17" s="14">
        <v>8</v>
      </c>
      <c r="F17" s="15" t="s">
        <v>78</v>
      </c>
      <c r="G17" s="7" t="str">
        <f>VLOOKUP(F17,Orientations,2,FALSE)</f>
        <v>¡</v>
      </c>
      <c r="H17" s="14"/>
      <c r="I17" s="14">
        <v>20</v>
      </c>
      <c r="J17" s="6" t="str">
        <f>IF(NOT(ISBLANK(H17)),VLOOKUP(H17*10,mmToAPTip,2,TRUE),VLOOKUP(I17,MilToAPTip,3,TRUE))</f>
        <v>2010</v>
      </c>
      <c r="L17"/>
    </row>
    <row r="18" spans="1:12" s="6" customFormat="1" ht="27.75" customHeight="1" x14ac:dyDescent="0.25">
      <c r="A18" t="s">
        <v>43</v>
      </c>
      <c r="B18">
        <v>1</v>
      </c>
      <c r="C18" t="s">
        <v>144</v>
      </c>
      <c r="D18" t="s">
        <v>185</v>
      </c>
      <c r="E18" s="14">
        <v>8</v>
      </c>
      <c r="F18" s="15" t="s">
        <v>78</v>
      </c>
      <c r="G18" s="7" t="str">
        <f>VLOOKUP(F18,Orientations,2,FALSE)</f>
        <v>¡</v>
      </c>
      <c r="H18" s="14"/>
      <c r="I18" s="14">
        <v>20</v>
      </c>
      <c r="J18" s="6" t="str">
        <f>IF(NOT(ISBLANK(H18)),VLOOKUP(H18*10,mmToAPTip,2,TRUE),VLOOKUP(I18,MilToAPTip,3,TRUE))</f>
        <v>2010</v>
      </c>
      <c r="L18" s="13"/>
    </row>
    <row r="19" spans="1:12" s="6" customFormat="1" ht="27.75" customHeight="1" x14ac:dyDescent="0.25">
      <c r="A19" t="s">
        <v>108</v>
      </c>
      <c r="B19">
        <v>5</v>
      </c>
      <c r="C19" t="s">
        <v>63</v>
      </c>
      <c r="D19" t="s">
        <v>64</v>
      </c>
      <c r="E19" s="14">
        <v>8</v>
      </c>
      <c r="F19" s="15" t="s">
        <v>78</v>
      </c>
      <c r="G19" s="7" t="str">
        <f>VLOOKUP(F19,Orientations,2,FALSE)</f>
        <v>¡</v>
      </c>
      <c r="H19" s="14"/>
      <c r="I19" s="14">
        <v>20</v>
      </c>
      <c r="J19" s="6" t="str">
        <f>IF(NOT(ISBLANK(H19)),VLOOKUP(H19*10,mmToAPTip,2,TRUE),VLOOKUP(I19,MilToAPTip,3,TRUE))</f>
        <v>2010</v>
      </c>
      <c r="L19" s="13"/>
    </row>
    <row r="20" spans="1:12" s="6" customFormat="1" ht="27.75" customHeight="1" x14ac:dyDescent="0.25">
      <c r="A20" t="s">
        <v>44</v>
      </c>
      <c r="B20">
        <v>1</v>
      </c>
      <c r="C20" t="s">
        <v>145</v>
      </c>
      <c r="D20" t="s">
        <v>186</v>
      </c>
      <c r="E20" s="14">
        <v>8</v>
      </c>
      <c r="F20" s="15" t="s">
        <v>78</v>
      </c>
      <c r="G20" s="7" t="str">
        <f>VLOOKUP(F20,Orientations,2,FALSE)</f>
        <v>¡</v>
      </c>
      <c r="H20" s="14"/>
      <c r="I20" s="14">
        <v>20</v>
      </c>
      <c r="J20" s="6" t="str">
        <f>IF(NOT(ISBLANK(H20)),VLOOKUP(H20*10,mmToAPTip,2,TRUE),VLOOKUP(I20,MilToAPTip,3,TRUE))</f>
        <v>2010</v>
      </c>
      <c r="L20" s="13"/>
    </row>
    <row r="21" spans="1:12" s="6" customFormat="1" ht="27.75" customHeight="1" x14ac:dyDescent="0.25">
      <c r="A21" t="s">
        <v>68</v>
      </c>
      <c r="B21">
        <v>1</v>
      </c>
      <c r="C21" t="s">
        <v>146</v>
      </c>
      <c r="D21" t="s">
        <v>187</v>
      </c>
      <c r="E21" s="14">
        <v>8</v>
      </c>
      <c r="F21" s="15" t="s">
        <v>78</v>
      </c>
      <c r="G21" s="7" t="str">
        <f>VLOOKUP(F21,Orientations,2,FALSE)</f>
        <v>¡</v>
      </c>
      <c r="H21" s="14"/>
      <c r="I21" s="14">
        <v>20</v>
      </c>
      <c r="J21" s="6" t="str">
        <f>IF(NOT(ISBLANK(H21)),VLOOKUP(H21*10,mmToAPTip,2,TRUE),VLOOKUP(I21,MilToAPTip,3,TRUE))</f>
        <v>2010</v>
      </c>
      <c r="L21" s="13"/>
    </row>
    <row r="22" spans="1:12" s="6" customFormat="1" ht="27.75" customHeight="1" x14ac:dyDescent="0.25">
      <c r="A22" t="s">
        <v>69</v>
      </c>
      <c r="B22">
        <v>1</v>
      </c>
      <c r="C22" t="s">
        <v>147</v>
      </c>
      <c r="D22" t="s">
        <v>188</v>
      </c>
      <c r="E22" s="14">
        <v>8</v>
      </c>
      <c r="F22" s="15" t="s">
        <v>78</v>
      </c>
      <c r="G22" s="7" t="str">
        <f>VLOOKUP(F22,Orientations,2,FALSE)</f>
        <v>¡</v>
      </c>
      <c r="H22" s="14"/>
      <c r="I22" s="14">
        <v>20</v>
      </c>
      <c r="J22" s="6" t="str">
        <f>IF(NOT(ISBLANK(H22)),VLOOKUP(H22*10,mmToAPTip,2,TRUE),VLOOKUP(I22,MilToAPTip,3,TRUE))</f>
        <v>2010</v>
      </c>
      <c r="L22" s="13"/>
    </row>
    <row r="23" spans="1:12" ht="27.75" customHeight="1" x14ac:dyDescent="0.25">
      <c r="A23" t="s">
        <v>70</v>
      </c>
      <c r="B23">
        <v>1</v>
      </c>
      <c r="C23" t="s">
        <v>148</v>
      </c>
      <c r="D23" t="s">
        <v>189</v>
      </c>
      <c r="E23" s="14">
        <v>8</v>
      </c>
      <c r="F23" s="15" t="s">
        <v>78</v>
      </c>
      <c r="G23" s="7" t="str">
        <f>VLOOKUP(F23,Orientations,2,FALSE)</f>
        <v>¡</v>
      </c>
      <c r="H23" s="14"/>
      <c r="I23" s="14">
        <v>20</v>
      </c>
      <c r="J23" s="6" t="str">
        <f>IF(NOT(ISBLANK(H23)),VLOOKUP(H23*10,mmToAPTip,2,TRUE),VLOOKUP(I23,MilToAPTip,3,TRUE))</f>
        <v>2010</v>
      </c>
      <c r="L23" s="13"/>
    </row>
    <row r="24" spans="1:12" ht="27.75" customHeight="1" x14ac:dyDescent="0.25">
      <c r="A24" t="s">
        <v>109</v>
      </c>
      <c r="B24">
        <v>8</v>
      </c>
      <c r="C24" t="s">
        <v>149</v>
      </c>
      <c r="D24" t="s">
        <v>190</v>
      </c>
      <c r="E24" s="14">
        <v>8</v>
      </c>
      <c r="F24" s="15" t="s">
        <v>78</v>
      </c>
      <c r="G24" s="7" t="str">
        <f>VLOOKUP(F24,Orientations,2,FALSE)</f>
        <v>¡</v>
      </c>
      <c r="H24" s="14"/>
      <c r="I24" s="14">
        <v>20</v>
      </c>
      <c r="J24" s="6" t="str">
        <f>IF(NOT(ISBLANK(H24)),VLOOKUP(H24*10,mmToAPTip,2,TRUE),VLOOKUP(I24,MilToAPTip,3,TRUE))</f>
        <v>2010</v>
      </c>
    </row>
    <row r="25" spans="1:12" ht="27.75" customHeight="1" x14ac:dyDescent="0.25">
      <c r="A25" t="s">
        <v>110</v>
      </c>
      <c r="B25">
        <v>3</v>
      </c>
      <c r="C25" t="s">
        <v>150</v>
      </c>
      <c r="D25" t="s">
        <v>191</v>
      </c>
      <c r="E25" s="14">
        <v>8</v>
      </c>
      <c r="F25" s="15" t="s">
        <v>78</v>
      </c>
      <c r="G25" s="7" t="str">
        <f>VLOOKUP(F25,Orientations,2,FALSE)</f>
        <v>¡</v>
      </c>
      <c r="H25" s="14"/>
      <c r="I25" s="14">
        <v>20</v>
      </c>
      <c r="J25" s="6" t="str">
        <f>IF(NOT(ISBLANK(H25)),VLOOKUP(H25*10,mmToAPTip,2,TRUE),VLOOKUP(I25,MilToAPTip,3,TRUE))</f>
        <v>2010</v>
      </c>
    </row>
    <row r="26" spans="1:12" ht="27.75" customHeight="1" x14ac:dyDescent="0.25">
      <c r="A26" t="s">
        <v>48</v>
      </c>
      <c r="B26">
        <v>1</v>
      </c>
      <c r="C26" t="s">
        <v>136</v>
      </c>
      <c r="D26" t="s">
        <v>177</v>
      </c>
      <c r="E26" s="14">
        <v>8</v>
      </c>
      <c r="F26" s="15" t="s">
        <v>78</v>
      </c>
      <c r="G26" s="7" t="str">
        <f>VLOOKUP(F26,Orientations,2,FALSE)</f>
        <v>¡</v>
      </c>
      <c r="H26" s="14"/>
      <c r="I26" s="14">
        <v>20</v>
      </c>
      <c r="J26" s="6" t="str">
        <f>IF(NOT(ISBLANK(H26)),VLOOKUP(H26*10,mmToAPTip,2,TRUE),VLOOKUP(I26,MilToAPTip,3,TRUE))</f>
        <v>2010</v>
      </c>
    </row>
    <row r="27" spans="1:12" ht="27.75" customHeight="1" x14ac:dyDescent="0.25">
      <c r="A27" t="s">
        <v>111</v>
      </c>
      <c r="B27">
        <v>1</v>
      </c>
      <c r="C27" t="s">
        <v>151</v>
      </c>
      <c r="D27" t="s">
        <v>192</v>
      </c>
      <c r="E27" s="14">
        <v>8</v>
      </c>
      <c r="F27" s="15" t="s">
        <v>78</v>
      </c>
      <c r="G27" s="7" t="str">
        <f>VLOOKUP(F27,Orientations,2,FALSE)</f>
        <v>¡</v>
      </c>
      <c r="H27" s="14"/>
      <c r="I27" s="14">
        <v>20</v>
      </c>
      <c r="J27" s="6" t="str">
        <f>IF(NOT(ISBLANK(H27)),VLOOKUP(H27*10,mmToAPTip,2,TRUE),VLOOKUP(I27,MilToAPTip,3,TRUE))</f>
        <v>2010</v>
      </c>
    </row>
    <row r="28" spans="1:12" ht="27.75" customHeight="1" x14ac:dyDescent="0.25">
      <c r="A28" t="s">
        <v>112</v>
      </c>
      <c r="B28">
        <v>2</v>
      </c>
      <c r="C28" t="s">
        <v>152</v>
      </c>
      <c r="D28" t="s">
        <v>193</v>
      </c>
      <c r="E28" s="14">
        <v>8</v>
      </c>
      <c r="F28" s="15" t="s">
        <v>78</v>
      </c>
      <c r="G28" s="7" t="str">
        <f>VLOOKUP(F28,Orientations,2,FALSE)</f>
        <v>¡</v>
      </c>
      <c r="H28" s="14"/>
      <c r="I28" s="14">
        <v>20</v>
      </c>
      <c r="J28" s="6" t="str">
        <f>IF(NOT(ISBLANK(H28)),VLOOKUP(H28*10,mmToAPTip,2,TRUE),VLOOKUP(I28,MilToAPTip,3,TRUE))</f>
        <v>2010</v>
      </c>
    </row>
    <row r="29" spans="1:12" ht="27.75" customHeight="1" x14ac:dyDescent="0.25">
      <c r="A29" t="s">
        <v>61</v>
      </c>
      <c r="B29">
        <v>1</v>
      </c>
      <c r="C29" t="s">
        <v>137</v>
      </c>
      <c r="D29" t="s">
        <v>178</v>
      </c>
      <c r="E29" s="14">
        <v>8</v>
      </c>
      <c r="F29" s="15" t="s">
        <v>78</v>
      </c>
      <c r="G29" s="7" t="str">
        <f>VLOOKUP(F29,Orientations,2,FALSE)</f>
        <v>¡</v>
      </c>
      <c r="H29" s="14"/>
      <c r="I29" s="14">
        <v>20</v>
      </c>
      <c r="J29" s="6" t="str">
        <f>IF(NOT(ISBLANK(H29)),VLOOKUP(H29*10,mmToAPTip,2,TRUE),VLOOKUP(I29,MilToAPTip,3,TRUE))</f>
        <v>2010</v>
      </c>
    </row>
    <row r="30" spans="1:12" ht="27.75" customHeight="1" x14ac:dyDescent="0.25">
      <c r="A30" t="s">
        <v>113</v>
      </c>
      <c r="B30">
        <v>2</v>
      </c>
      <c r="C30" t="s">
        <v>153</v>
      </c>
      <c r="D30" t="s">
        <v>194</v>
      </c>
      <c r="E30" s="14">
        <v>8</v>
      </c>
      <c r="F30" s="15" t="s">
        <v>78</v>
      </c>
      <c r="G30" s="7" t="str">
        <f>VLOOKUP(F30,Orientations,2,FALSE)</f>
        <v>¡</v>
      </c>
      <c r="H30" s="14"/>
      <c r="I30" s="14">
        <v>20</v>
      </c>
      <c r="J30" s="6" t="str">
        <f>IF(NOT(ISBLANK(H30)),VLOOKUP(H30*10,mmToAPTip,2,TRUE),VLOOKUP(I30,MilToAPTip,3,TRUE))</f>
        <v>2010</v>
      </c>
    </row>
    <row r="31" spans="1:12" ht="27.75" customHeight="1" x14ac:dyDescent="0.25">
      <c r="A31" t="s">
        <v>106</v>
      </c>
      <c r="B31">
        <v>1</v>
      </c>
      <c r="C31" t="s">
        <v>138</v>
      </c>
      <c r="D31" t="s">
        <v>179</v>
      </c>
      <c r="E31" s="14">
        <v>8</v>
      </c>
      <c r="F31" s="15" t="s">
        <v>78</v>
      </c>
      <c r="G31" s="7" t="str">
        <f>VLOOKUP(F31,Orientations,2,FALSE)</f>
        <v>¡</v>
      </c>
      <c r="H31" s="14"/>
      <c r="I31" s="14">
        <v>20</v>
      </c>
      <c r="J31" s="6" t="str">
        <f>IF(NOT(ISBLANK(H31)),VLOOKUP(H31*10,mmToAPTip,2,TRUE),VLOOKUP(I31,MilToAPTip,3,TRUE))</f>
        <v>2010</v>
      </c>
    </row>
    <row r="32" spans="1:12" ht="27.75" customHeight="1" x14ac:dyDescent="0.25">
      <c r="A32" t="s">
        <v>49</v>
      </c>
      <c r="B32">
        <v>1</v>
      </c>
      <c r="C32" t="s">
        <v>139</v>
      </c>
      <c r="D32" t="s">
        <v>180</v>
      </c>
      <c r="E32" s="14">
        <v>8</v>
      </c>
      <c r="F32" s="15" t="s">
        <v>78</v>
      </c>
      <c r="G32" s="7" t="str">
        <f>VLOOKUP(F32,Orientations,2,FALSE)</f>
        <v>¡</v>
      </c>
      <c r="H32" s="14"/>
      <c r="I32" s="14">
        <v>20</v>
      </c>
      <c r="J32" s="6" t="str">
        <f>IF(NOT(ISBLANK(H32)),VLOOKUP(H32*10,mmToAPTip,2,TRUE),VLOOKUP(I32,MilToAPTip,3,TRUE))</f>
        <v>2010</v>
      </c>
    </row>
    <row r="33" spans="1:12" ht="27.75" customHeight="1" x14ac:dyDescent="0.25">
      <c r="A33" t="s">
        <v>50</v>
      </c>
      <c r="B33">
        <v>1</v>
      </c>
      <c r="C33" t="s">
        <v>140</v>
      </c>
      <c r="D33" t="s">
        <v>181</v>
      </c>
      <c r="E33" s="14">
        <v>8</v>
      </c>
      <c r="F33" s="15" t="s">
        <v>78</v>
      </c>
      <c r="G33" s="7" t="str">
        <f>VLOOKUP(F33,Orientations,2,FALSE)</f>
        <v>¡</v>
      </c>
      <c r="H33" s="14"/>
      <c r="I33" s="14">
        <v>20</v>
      </c>
      <c r="J33" s="6" t="str">
        <f>IF(NOT(ISBLANK(H33)),VLOOKUP(H33*10,mmToAPTip,2,TRUE),VLOOKUP(I33,MilToAPTip,3,TRUE))</f>
        <v>2010</v>
      </c>
    </row>
    <row r="34" spans="1:12" ht="27.75" customHeight="1" x14ac:dyDescent="0.25">
      <c r="A34" t="s">
        <v>62</v>
      </c>
      <c r="B34">
        <v>1</v>
      </c>
      <c r="C34" t="s">
        <v>141</v>
      </c>
      <c r="D34" t="s">
        <v>182</v>
      </c>
      <c r="E34" s="14">
        <v>8</v>
      </c>
      <c r="F34" s="15" t="s">
        <v>78</v>
      </c>
      <c r="G34" s="7" t="str">
        <f>VLOOKUP(F34,Orientations,2,FALSE)</f>
        <v>¡</v>
      </c>
      <c r="H34" s="14"/>
      <c r="I34" s="14">
        <v>20</v>
      </c>
      <c r="J34" s="6" t="str">
        <f>IF(NOT(ISBLANK(H34)),VLOOKUP(H34*10,mmToAPTip,2,TRUE),VLOOKUP(I34,MilToAPTip,3,TRUE))</f>
        <v>2010</v>
      </c>
    </row>
    <row r="35" spans="1:12" ht="27.75" customHeight="1" x14ac:dyDescent="0.25">
      <c r="A35" t="s">
        <v>67</v>
      </c>
      <c r="B35">
        <v>1</v>
      </c>
      <c r="C35" t="s">
        <v>142</v>
      </c>
      <c r="D35" t="s">
        <v>183</v>
      </c>
      <c r="E35" s="14">
        <v>8</v>
      </c>
      <c r="F35" s="15" t="s">
        <v>78</v>
      </c>
      <c r="G35" s="7" t="str">
        <f>VLOOKUP(F35,Orientations,2,FALSE)</f>
        <v>¡</v>
      </c>
      <c r="H35" s="14"/>
      <c r="I35" s="14">
        <v>20</v>
      </c>
      <c r="J35" s="6" t="str">
        <f>IF(NOT(ISBLANK(H35)),VLOOKUP(H35*10,mmToAPTip,2,TRUE),VLOOKUP(I35,MilToAPTip,3,TRUE))</f>
        <v>2010</v>
      </c>
    </row>
    <row r="36" spans="1:12" ht="27.75" customHeight="1" x14ac:dyDescent="0.25">
      <c r="A36" t="s">
        <v>107</v>
      </c>
      <c r="B36">
        <v>1</v>
      </c>
      <c r="C36" t="s">
        <v>143</v>
      </c>
      <c r="D36" t="s">
        <v>184</v>
      </c>
      <c r="E36" s="14">
        <v>8</v>
      </c>
      <c r="F36" s="15" t="s">
        <v>78</v>
      </c>
      <c r="G36" s="7" t="str">
        <f>VLOOKUP(F36,Orientations,2,FALSE)</f>
        <v>¡</v>
      </c>
      <c r="H36" s="14"/>
      <c r="I36" s="14">
        <v>20</v>
      </c>
      <c r="J36" s="6" t="str">
        <f>IF(NOT(ISBLANK(H36)),VLOOKUP(H36*10,mmToAPTip,2,TRUE),VLOOKUP(I36,MilToAPTip,3,TRUE))</f>
        <v>2010</v>
      </c>
      <c r="L36" s="13"/>
    </row>
    <row r="37" spans="1:12" ht="27.75" customHeight="1" x14ac:dyDescent="0.25">
      <c r="A37" t="s">
        <v>95</v>
      </c>
      <c r="B37">
        <v>2</v>
      </c>
      <c r="C37" t="s">
        <v>123</v>
      </c>
      <c r="D37" t="s">
        <v>165</v>
      </c>
      <c r="E37" s="14">
        <v>8</v>
      </c>
      <c r="F37" s="15" t="s">
        <v>78</v>
      </c>
      <c r="G37" s="7" t="str">
        <f>VLOOKUP(F37,Orientations,2,FALSE)</f>
        <v>¡</v>
      </c>
      <c r="H37" s="14"/>
      <c r="I37" s="14">
        <v>100</v>
      </c>
      <c r="J37" s="6" t="str">
        <f>IF(NOT(ISBLANK(H37)),VLOOKUP(H37*10,mmToAPTip,2,TRUE),VLOOKUP(I37,MilToAPTip,3,TRUE))</f>
        <v>3/32</v>
      </c>
    </row>
    <row r="38" spans="1:12" ht="27.75" customHeight="1" x14ac:dyDescent="0.25">
      <c r="A38" t="s">
        <v>91</v>
      </c>
      <c r="B38">
        <v>2</v>
      </c>
      <c r="C38" t="s">
        <v>119</v>
      </c>
      <c r="D38" t="s">
        <v>161</v>
      </c>
      <c r="E38" s="14">
        <v>8</v>
      </c>
      <c r="F38" s="15" t="s">
        <v>78</v>
      </c>
      <c r="G38" s="7" t="str">
        <f>VLOOKUP(F38,Orientations,2,FALSE)</f>
        <v>¡</v>
      </c>
      <c r="H38" s="14"/>
      <c r="I38" s="14">
        <v>100</v>
      </c>
      <c r="J38" s="6" t="str">
        <f>IF(NOT(ISBLANK(H38)),VLOOKUP(H38*10,mmToAPTip,2,TRUE),VLOOKUP(I38,MilToAPTip,3,TRUE))</f>
        <v>3/32</v>
      </c>
      <c r="L38" s="13"/>
    </row>
    <row r="39" spans="1:12" ht="27.75" customHeight="1" x14ac:dyDescent="0.25">
      <c r="A39" t="s">
        <v>100</v>
      </c>
      <c r="B39">
        <v>4</v>
      </c>
      <c r="C39" t="s">
        <v>128</v>
      </c>
      <c r="D39" t="s">
        <v>170</v>
      </c>
      <c r="E39" s="14">
        <v>8</v>
      </c>
      <c r="F39" s="15" t="s">
        <v>88</v>
      </c>
      <c r="G39" s="7" t="str">
        <f>VLOOKUP(F39,Orientations,2,FALSE)</f>
        <v>â</v>
      </c>
      <c r="H39" s="14"/>
      <c r="I39" s="14">
        <v>100</v>
      </c>
      <c r="J39" s="6" t="str">
        <f>IF(NOT(ISBLANK(H39)),VLOOKUP(H39*10,mmToAPTip,2,TRUE),VLOOKUP(I39,MilToAPTip,3,TRUE))</f>
        <v>3/32</v>
      </c>
      <c r="L39" s="13" t="s">
        <v>198</v>
      </c>
    </row>
    <row r="40" spans="1:12" ht="42" customHeight="1" x14ac:dyDescent="0.25">
      <c r="A40" t="s">
        <v>46</v>
      </c>
      <c r="B40">
        <v>1</v>
      </c>
      <c r="C40" t="s">
        <v>131</v>
      </c>
      <c r="D40" t="s">
        <v>172</v>
      </c>
      <c r="E40" s="14">
        <v>12</v>
      </c>
      <c r="F40" s="15" t="s">
        <v>78</v>
      </c>
      <c r="G40" s="7" t="str">
        <f>VLOOKUP(F40,Orientations,2,FALSE)</f>
        <v>¡</v>
      </c>
      <c r="H40" s="14">
        <v>3.07</v>
      </c>
      <c r="I40" s="14"/>
      <c r="J40" s="6" t="str">
        <f>IF(NOT(ISBLANK(H40)),VLOOKUP(H40*10,mmToAPTip,2,TRUE),VLOOKUP(I40,MilToAPTip,3,TRUE))</f>
        <v>3/32</v>
      </c>
      <c r="L40" s="13"/>
    </row>
    <row r="41" spans="1:12" ht="42" customHeight="1" x14ac:dyDescent="0.25">
      <c r="A41" t="s">
        <v>116</v>
      </c>
      <c r="B41">
        <v>2</v>
      </c>
      <c r="C41" t="s">
        <v>158</v>
      </c>
      <c r="D41" t="s">
        <v>158</v>
      </c>
      <c r="E41" s="14">
        <v>12</v>
      </c>
      <c r="F41" s="15" t="s">
        <v>80</v>
      </c>
      <c r="G41" s="7" t="str">
        <f>VLOOKUP(F41,Orientations,2,FALSE)</f>
        <v>ä</v>
      </c>
      <c r="H41" s="14">
        <v>3.1</v>
      </c>
      <c r="I41" s="14"/>
      <c r="J41" s="6" t="str">
        <f>IF(NOT(ISBLANK(H41)),VLOOKUP(H41*10,mmToAPTip,2,TRUE),VLOOKUP(I41,MilToAPTip,3,TRUE))</f>
        <v>3/32</v>
      </c>
      <c r="L41" s="13"/>
    </row>
    <row r="42" spans="1:12" ht="83.25" customHeight="1" x14ac:dyDescent="0.25">
      <c r="A42" t="s">
        <v>51</v>
      </c>
      <c r="B42">
        <v>1</v>
      </c>
      <c r="C42" t="s">
        <v>157</v>
      </c>
      <c r="D42" t="s">
        <v>157</v>
      </c>
      <c r="E42" s="14">
        <v>24</v>
      </c>
      <c r="F42" s="15" t="s">
        <v>80</v>
      </c>
      <c r="G42" s="7" t="str">
        <f>VLOOKUP(F42,Orientations,2,FALSE)</f>
        <v>ä</v>
      </c>
      <c r="H42" s="14">
        <v>10.199999999999999</v>
      </c>
      <c r="I42" s="14"/>
      <c r="J42" s="6" t="str">
        <f>IF(NOT(ISBLANK(H42)),VLOOKUP(H42*10,mmToAPTip,2,TRUE),VLOOKUP(I42,MilToAPTip,3,TRUE))</f>
        <v>3/8</v>
      </c>
      <c r="L42" s="13"/>
    </row>
    <row r="43" spans="1:12" ht="27.75" customHeight="1" x14ac:dyDescent="0.25">
      <c r="A43" t="s">
        <v>93</v>
      </c>
      <c r="B43">
        <v>6</v>
      </c>
      <c r="C43" t="s">
        <v>121</v>
      </c>
      <c r="D43" t="s">
        <v>163</v>
      </c>
      <c r="E43" s="14">
        <v>8</v>
      </c>
      <c r="F43" s="15" t="s">
        <v>78</v>
      </c>
      <c r="G43" s="7" t="str">
        <f>VLOOKUP(F43,Orientations,2,FALSE)</f>
        <v>¡</v>
      </c>
      <c r="H43" s="14"/>
      <c r="I43" s="14">
        <v>30</v>
      </c>
      <c r="J43" s="6" t="str">
        <f>IF(NOT(ISBLANK(H43)),VLOOKUP(H43*10,mmToAPTip,2,TRUE),VLOOKUP(I43,MilToAPTip,3,TRUE))</f>
        <v>3020</v>
      </c>
      <c r="L43" s="13"/>
    </row>
    <row r="44" spans="1:12" ht="27.75" customHeight="1" x14ac:dyDescent="0.25">
      <c r="A44" t="s">
        <v>104</v>
      </c>
      <c r="B44">
        <v>4</v>
      </c>
      <c r="C44" t="s">
        <v>133</v>
      </c>
      <c r="D44" t="s">
        <v>174</v>
      </c>
      <c r="E44" s="14">
        <v>8</v>
      </c>
      <c r="F44" s="15" t="s">
        <v>78</v>
      </c>
      <c r="G44" s="7" t="str">
        <f>VLOOKUP(F44,Orientations,2,FALSE)</f>
        <v>¡</v>
      </c>
      <c r="H44" s="14"/>
      <c r="I44" s="14">
        <v>30</v>
      </c>
      <c r="J44" s="6" t="str">
        <f>IF(NOT(ISBLANK(H44)),VLOOKUP(H44*10,mmToAPTip,2,TRUE),VLOOKUP(I44,MilToAPTip,3,TRUE))</f>
        <v>3020</v>
      </c>
      <c r="L44" s="13"/>
    </row>
    <row r="45" spans="1:12" ht="27.75" customHeight="1" x14ac:dyDescent="0.25">
      <c r="A45" t="s">
        <v>115</v>
      </c>
      <c r="B45">
        <v>1</v>
      </c>
      <c r="C45" t="s">
        <v>155</v>
      </c>
      <c r="D45" t="s">
        <v>196</v>
      </c>
      <c r="E45" s="14">
        <v>8</v>
      </c>
      <c r="F45" s="15" t="s">
        <v>80</v>
      </c>
      <c r="G45" s="7" t="str">
        <f>VLOOKUP(F45,Orientations,2,FALSE)</f>
        <v>ä</v>
      </c>
      <c r="H45" s="14">
        <v>1</v>
      </c>
      <c r="I45" s="14"/>
      <c r="J45" s="6" t="str">
        <f>IF(NOT(ISBLANK(H45)),VLOOKUP(H45*10,mmToAPTip,2,TRUE),VLOOKUP(I45,MilToAPTip,3,TRUE))</f>
        <v>3020</v>
      </c>
      <c r="L45" s="13"/>
    </row>
    <row r="46" spans="1:12" ht="27.75" customHeight="1" x14ac:dyDescent="0.25">
      <c r="A46" t="s">
        <v>71</v>
      </c>
      <c r="B46">
        <v>1</v>
      </c>
      <c r="C46" t="s">
        <v>156</v>
      </c>
      <c r="D46" t="s">
        <v>197</v>
      </c>
      <c r="E46" s="14">
        <v>8</v>
      </c>
      <c r="F46" s="15" t="s">
        <v>80</v>
      </c>
      <c r="G46" s="7" t="str">
        <f>VLOOKUP(F46,Orientations,2,FALSE)</f>
        <v>ä</v>
      </c>
      <c r="H46" s="14">
        <v>1</v>
      </c>
      <c r="I46" s="14"/>
      <c r="J46" s="6" t="str">
        <f>IF(NOT(ISBLANK(H46)),VLOOKUP(H46*10,mmToAPTip,2,TRUE),VLOOKUP(I46,MilToAPTip,3,TRUE))</f>
        <v>3020</v>
      </c>
      <c r="L46" s="13"/>
    </row>
    <row r="47" spans="1:12" ht="27.75" customHeight="1" x14ac:dyDescent="0.25">
      <c r="A47" t="s">
        <v>97</v>
      </c>
      <c r="B47">
        <v>2</v>
      </c>
      <c r="C47" t="s">
        <v>125</v>
      </c>
      <c r="D47" t="s">
        <v>167</v>
      </c>
      <c r="E47" s="14">
        <v>8</v>
      </c>
      <c r="F47" s="15" t="s">
        <v>78</v>
      </c>
      <c r="G47" s="7" t="str">
        <f>VLOOKUP(F47,Orientations,2,FALSE)</f>
        <v>¡</v>
      </c>
      <c r="H47" s="14"/>
      <c r="I47" s="14">
        <v>50</v>
      </c>
      <c r="J47" s="6" t="str">
        <f>IF(NOT(ISBLANK(H47)),VLOOKUP(H47*10,mmToAPTip,2,TRUE),VLOOKUP(I47,MilToAPTip,3,TRUE))</f>
        <v>4030</v>
      </c>
      <c r="L47" s="13"/>
    </row>
    <row r="48" spans="1:12" ht="27.75" customHeight="1" x14ac:dyDescent="0.25">
      <c r="A48" t="s">
        <v>56</v>
      </c>
      <c r="B48">
        <v>1</v>
      </c>
      <c r="C48" t="s">
        <v>54</v>
      </c>
      <c r="D48" t="s">
        <v>57</v>
      </c>
      <c r="E48" s="14">
        <v>8</v>
      </c>
      <c r="F48" s="15" t="s">
        <v>79</v>
      </c>
      <c r="G48" s="7" t="str">
        <f>VLOOKUP(F48,Orientations,2,FALSE)</f>
        <v>á</v>
      </c>
      <c r="H48" s="14">
        <v>1.1499999999999999</v>
      </c>
      <c r="I48" s="14"/>
      <c r="J48" s="6" t="str">
        <f>IF(NOT(ISBLANK(H48)),VLOOKUP(H48*10,mmToAPTip,2,TRUE),VLOOKUP(I48,MilToAPTip,3,TRUE))</f>
        <v>4030</v>
      </c>
      <c r="L48" s="13" t="s">
        <v>89</v>
      </c>
    </row>
    <row r="49" spans="1:12" ht="27.75" customHeight="1" x14ac:dyDescent="0.25">
      <c r="A49" t="s">
        <v>41</v>
      </c>
      <c r="B49">
        <v>1</v>
      </c>
      <c r="C49" t="s">
        <v>53</v>
      </c>
      <c r="D49" t="s">
        <v>59</v>
      </c>
      <c r="E49" s="14">
        <v>8</v>
      </c>
      <c r="F49" s="15" t="s">
        <v>78</v>
      </c>
      <c r="G49" s="7" t="str">
        <f>VLOOKUP(F49,Orientations,2,FALSE)</f>
        <v>¡</v>
      </c>
      <c r="H49" s="14">
        <v>1.5</v>
      </c>
      <c r="I49" s="14"/>
      <c r="J49" s="6" t="str">
        <f>IF(NOT(ISBLANK(H49)),VLOOKUP(H49*10,mmToAPTip,2,TRUE),VLOOKUP(I49,MilToAPTip,3,TRUE))</f>
        <v>4030</v>
      </c>
      <c r="L49" s="13"/>
    </row>
    <row r="50" spans="1:12" ht="27.75" customHeight="1" x14ac:dyDescent="0.25">
      <c r="A50" t="s">
        <v>118</v>
      </c>
      <c r="B50">
        <v>5</v>
      </c>
      <c r="C50" t="s">
        <v>65</v>
      </c>
      <c r="D50" t="s">
        <v>65</v>
      </c>
      <c r="E50" s="14">
        <v>8</v>
      </c>
      <c r="F50" s="15" t="s">
        <v>83</v>
      </c>
      <c r="G50" s="7" t="str">
        <f>VLOOKUP(F50,Orientations,2,FALSE)</f>
        <v>å</v>
      </c>
      <c r="H50" s="14">
        <v>1.5</v>
      </c>
      <c r="I50" s="14"/>
      <c r="J50" s="6" t="str">
        <f>IF(NOT(ISBLANK(H50)),VLOOKUP(H50*10,mmToAPTip,2,TRUE),VLOOKUP(I50,MilToAPTip,3,TRUE))</f>
        <v>4030</v>
      </c>
      <c r="L50" s="13"/>
    </row>
    <row r="51" spans="1:12" ht="27.75" customHeight="1" x14ac:dyDescent="0.25">
      <c r="A51" t="s">
        <v>42</v>
      </c>
      <c r="B51">
        <v>1</v>
      </c>
      <c r="C51" t="s">
        <v>55</v>
      </c>
      <c r="D51" t="s">
        <v>60</v>
      </c>
      <c r="E51" s="14">
        <v>8</v>
      </c>
      <c r="F51" s="15" t="s">
        <v>80</v>
      </c>
      <c r="G51" s="7" t="str">
        <f>VLOOKUP(F51,Orientations,2,FALSE)</f>
        <v>ä</v>
      </c>
      <c r="H51" s="14">
        <v>2</v>
      </c>
      <c r="I51" s="14"/>
      <c r="J51" s="6" t="str">
        <f>IF(NOT(ISBLANK(H51)),VLOOKUP(H51*10,mmToAPTip,2,TRUE),VLOOKUP(I51,MilToAPTip,3,TRUE))</f>
        <v>6040</v>
      </c>
    </row>
    <row r="52" spans="1:12" ht="27.75" customHeight="1" x14ac:dyDescent="0.25">
      <c r="A52" t="s">
        <v>117</v>
      </c>
      <c r="B52">
        <v>1</v>
      </c>
      <c r="C52" t="s">
        <v>159</v>
      </c>
      <c r="D52" t="s">
        <v>159</v>
      </c>
      <c r="E52" s="14">
        <v>8</v>
      </c>
      <c r="F52" s="15" t="s">
        <v>80</v>
      </c>
      <c r="G52" s="7" t="str">
        <f>VLOOKUP(F52,Orientations,2,FALSE)</f>
        <v>ä</v>
      </c>
      <c r="H52" s="14">
        <v>2</v>
      </c>
      <c r="I52" s="14"/>
      <c r="J52" s="6" t="str">
        <f>IF(NOT(ISBLANK(H52)),VLOOKUP(H52*10,mmToAPTip,2,TRUE),VLOOKUP(I52,MilToAPTip,3,TRUE))</f>
        <v>6040</v>
      </c>
      <c r="L52" s="13"/>
    </row>
    <row r="53" spans="1:12" ht="27.75" customHeight="1" x14ac:dyDescent="0.25">
      <c r="A53" t="s">
        <v>52</v>
      </c>
      <c r="B53">
        <v>1</v>
      </c>
      <c r="C53" t="s">
        <v>160</v>
      </c>
      <c r="D53" t="s">
        <v>160</v>
      </c>
      <c r="E53" s="14">
        <v>8</v>
      </c>
      <c r="F53" s="15" t="s">
        <v>85</v>
      </c>
      <c r="G53" s="7" t="str">
        <f>VLOOKUP(F53,Orientations,2,FALSE)</f>
        <v>ã</v>
      </c>
      <c r="H53" s="14">
        <v>2</v>
      </c>
      <c r="I53" s="14"/>
      <c r="J53" s="6" t="str">
        <f>IF(NOT(ISBLANK(H53)),VLOOKUP(H53*10,mmToAPTip,2,TRUE),VLOOKUP(I53,MilToAPTip,3,TRUE))</f>
        <v>6040</v>
      </c>
    </row>
  </sheetData>
  <autoFilter ref="A4:L22" xr:uid="{00000000-0001-0000-0000-000000000000}">
    <sortState xmlns:xlrd2="http://schemas.microsoft.com/office/spreadsheetml/2017/richdata2" ref="A5:L53">
      <sortCondition ref="J4:J22"/>
    </sortState>
  </autoFilter>
  <conditionalFormatting sqref="G5:G53">
    <cfRule type="cellIs" dxfId="0" priority="1" operator="notEqual">
      <formula>"¡"</formula>
    </cfRule>
  </conditionalFormatting>
  <pageMargins left="0.75" right="0.75" top="0.5" bottom="0.5" header="0.3" footer="0.3"/>
  <pageSetup scale="88" fitToHeight="0" orientation="landscape" horizontalDpi="300" verticalDpi="300" r:id="rId1"/>
  <rowBreaks count="8" manualBreakCount="8">
    <brk id="8" max="16383" man="1"/>
    <brk id="10" max="16383" man="1"/>
    <brk id="36" max="16383" man="1"/>
    <brk id="41" max="16383" man="1"/>
    <brk id="42" max="16383" man="1"/>
    <brk id="46" max="16383" man="1"/>
    <brk id="50" max="16383" man="1"/>
    <brk id="53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0F919-5617-4A1B-BCFF-39A3A818F381}">
  <sheetPr codeName="Sheet2"/>
  <dimension ref="A1:H16"/>
  <sheetViews>
    <sheetView workbookViewId="0">
      <selection activeCell="G11" sqref="G11"/>
    </sheetView>
  </sheetViews>
  <sheetFormatPr defaultRowHeight="15" x14ac:dyDescent="0.25"/>
  <cols>
    <col min="2" max="2" width="10.42578125" bestFit="1" customWidth="1"/>
  </cols>
  <sheetData>
    <row r="1" spans="1:8" ht="21" x14ac:dyDescent="0.35">
      <c r="A1" s="3" t="s">
        <v>13</v>
      </c>
      <c r="B1" s="2"/>
    </row>
    <row r="3" spans="1:8" x14ac:dyDescent="0.25">
      <c r="A3" s="1" t="s">
        <v>15</v>
      </c>
      <c r="B3" s="1" t="s">
        <v>15</v>
      </c>
      <c r="G3" s="1" t="s">
        <v>5</v>
      </c>
      <c r="H3" s="1"/>
    </row>
    <row r="4" spans="1:8" x14ac:dyDescent="0.25">
      <c r="A4" s="1" t="s">
        <v>27</v>
      </c>
      <c r="B4" s="1" t="s">
        <v>16</v>
      </c>
      <c r="C4" s="1" t="s">
        <v>14</v>
      </c>
      <c r="G4" s="1" t="s">
        <v>76</v>
      </c>
      <c r="H4" s="1" t="s">
        <v>77</v>
      </c>
    </row>
    <row r="5" spans="1:8" x14ac:dyDescent="0.25">
      <c r="A5">
        <v>8</v>
      </c>
      <c r="B5" s="5">
        <f>254*A5/1000</f>
        <v>2.032</v>
      </c>
      <c r="C5" s="12" t="s">
        <v>28</v>
      </c>
      <c r="G5" t="s">
        <v>78</v>
      </c>
      <c r="H5" s="7" t="s">
        <v>8</v>
      </c>
    </row>
    <row r="6" spans="1:8" x14ac:dyDescent="0.25">
      <c r="A6">
        <v>10</v>
      </c>
      <c r="B6" s="5">
        <f t="shared" ref="B6:B16" si="0">254*A6/1000</f>
        <v>2.54</v>
      </c>
      <c r="C6" s="12" t="s">
        <v>29</v>
      </c>
      <c r="G6" t="s">
        <v>79</v>
      </c>
      <c r="H6" s="7" t="s">
        <v>9</v>
      </c>
    </row>
    <row r="7" spans="1:8" x14ac:dyDescent="0.25">
      <c r="A7">
        <v>20</v>
      </c>
      <c r="B7" s="5">
        <f t="shared" si="0"/>
        <v>5.08</v>
      </c>
      <c r="C7" s="12" t="s">
        <v>30</v>
      </c>
      <c r="G7" t="s">
        <v>80</v>
      </c>
      <c r="H7" s="7" t="s">
        <v>7</v>
      </c>
    </row>
    <row r="8" spans="1:8" x14ac:dyDescent="0.25">
      <c r="A8">
        <v>30</v>
      </c>
      <c r="B8" s="5">
        <f t="shared" si="0"/>
        <v>7.62</v>
      </c>
      <c r="C8" s="12" t="s">
        <v>31</v>
      </c>
      <c r="G8" t="s">
        <v>81</v>
      </c>
      <c r="H8" s="7" t="s">
        <v>22</v>
      </c>
    </row>
    <row r="9" spans="1:8" x14ac:dyDescent="0.25">
      <c r="A9">
        <v>40</v>
      </c>
      <c r="B9" s="5">
        <f t="shared" si="0"/>
        <v>10.16</v>
      </c>
      <c r="C9" s="12" t="s">
        <v>32</v>
      </c>
      <c r="G9" t="s">
        <v>82</v>
      </c>
      <c r="H9" s="7" t="s">
        <v>19</v>
      </c>
    </row>
    <row r="10" spans="1:8" x14ac:dyDescent="0.25">
      <c r="A10">
        <v>60</v>
      </c>
      <c r="B10" s="5">
        <f t="shared" si="0"/>
        <v>15.24</v>
      </c>
      <c r="C10" s="12" t="s">
        <v>33</v>
      </c>
      <c r="G10" t="s">
        <v>88</v>
      </c>
      <c r="H10" s="7" t="s">
        <v>10</v>
      </c>
    </row>
    <row r="11" spans="1:8" x14ac:dyDescent="0.25">
      <c r="A11">
        <v>80</v>
      </c>
      <c r="B11" s="5">
        <f t="shared" si="0"/>
        <v>20.32</v>
      </c>
      <c r="C11" s="12" t="s">
        <v>34</v>
      </c>
      <c r="G11" t="s">
        <v>83</v>
      </c>
      <c r="H11" s="7" t="s">
        <v>20</v>
      </c>
    </row>
    <row r="12" spans="1:8" x14ac:dyDescent="0.25">
      <c r="A12">
        <v>94</v>
      </c>
      <c r="B12" s="5">
        <f t="shared" si="0"/>
        <v>23.876000000000001</v>
      </c>
      <c r="C12" s="12" t="s">
        <v>35</v>
      </c>
      <c r="G12" t="s">
        <v>84</v>
      </c>
      <c r="H12" s="7" t="s">
        <v>23</v>
      </c>
    </row>
    <row r="13" spans="1:8" x14ac:dyDescent="0.25">
      <c r="A13">
        <f>1000/8</f>
        <v>125</v>
      </c>
      <c r="B13" s="5">
        <f t="shared" si="0"/>
        <v>31.75</v>
      </c>
      <c r="C13" s="12" t="s">
        <v>36</v>
      </c>
      <c r="G13" t="s">
        <v>85</v>
      </c>
      <c r="H13" s="7" t="s">
        <v>21</v>
      </c>
    </row>
    <row r="14" spans="1:8" x14ac:dyDescent="0.25">
      <c r="A14">
        <f>1000/4</f>
        <v>250</v>
      </c>
      <c r="B14" s="5">
        <f t="shared" si="0"/>
        <v>63.5</v>
      </c>
      <c r="C14" s="12" t="s">
        <v>37</v>
      </c>
    </row>
    <row r="15" spans="1:8" x14ac:dyDescent="0.25">
      <c r="A15">
        <f>3000/8</f>
        <v>375</v>
      </c>
      <c r="B15" s="5">
        <f t="shared" si="0"/>
        <v>95.25</v>
      </c>
      <c r="C15" s="12" t="s">
        <v>38</v>
      </c>
    </row>
    <row r="16" spans="1:8" x14ac:dyDescent="0.25">
      <c r="A16">
        <f>1000/2</f>
        <v>500</v>
      </c>
      <c r="B16" s="5">
        <f t="shared" si="0"/>
        <v>127</v>
      </c>
      <c r="C16" s="12" t="s">
        <v>39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Parts List</vt:lpstr>
      <vt:lpstr>AirPick Tips</vt:lpstr>
      <vt:lpstr>AllTips</vt:lpstr>
      <vt:lpstr>MilToAPTip</vt:lpstr>
      <vt:lpstr>mmToAPTip</vt:lpstr>
      <vt:lpstr>Orientations</vt:lpstr>
      <vt:lpstr>'Parts List'!Print_Titles</vt:lpstr>
      <vt:lpstr>TapeWidths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Wilson</dc:creator>
  <cp:lastModifiedBy>Dan Wilson</cp:lastModifiedBy>
  <cp:lastPrinted>2025-05-03T17:45:57Z</cp:lastPrinted>
  <dcterms:created xsi:type="dcterms:W3CDTF">2015-06-05T18:17:20Z</dcterms:created>
  <dcterms:modified xsi:type="dcterms:W3CDTF">2025-05-03T17:48:26Z</dcterms:modified>
</cp:coreProperties>
</file>